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NL.png" ContentType="image/.png"/>
  <Override PartName="/customUI/images/BkMark.png" ContentType="image/.png"/>
  <Override PartName="/customUI/images/insert_last.png" ContentType="image/.png"/>
  <Override PartName="/customUI/images/set.png" ContentType="image/.png"/>
  <Override PartName="/customUI/images/new_gantt.png" ContentType="image/.png"/>
  <Override PartName="/customUI/images/palette_rose.png" ContentType="image/.png"/>
  <Override PartName="/customUI/images/start_date.png" ContentType="image/.png"/>
  <Override PartName="/customUI/images/palette_PIC.png" ContentType="image/.png"/>
  <Override PartName="/customUI/images/members.png" ContentType="image/.png"/>
  <Override PartName="/customUI/images/auto.png" ContentType="image/.png"/>
  <Override PartName="/customUI/images/palette.png" ContentType="image/.png"/>
  <Override PartName="/customUI/images/dependance.png" ContentType="image/.png"/>
  <Override PartName="/customUI/images/fav2.png" ContentType="image/.png"/>
  <Override PartName="/customUI/images/palette_mauve.png" ContentType="image/.png"/>
  <Override PartName="/customUI/images/out.png" ContentType="image/.png"/>
  <Override PartName="/customUI/images/modifier.png" ContentType="image/.png"/>
  <Override PartName="/customUI/images/refresh.png" ContentType="image/.png"/>
  <Override PartName="/customUI/images/in.png" ContentType="image/.png"/>
  <Override PartName="/customUI/images/insert_custom.png" ContentType="image/.png"/>
  <Override PartName="/customUI/images/help.png" ContentType="image/.png"/>
  <Override PartName="/customUI/images/PO.png" ContentType="image/.png"/>
  <Override PartName="/customUI/images/UK.png" ContentType="image/.png"/>
  <Override PartName="/customUI/images/outils.png" ContentType="image/.png"/>
  <Override PartName="/customUI/images/about.png" ContentType="image/.png"/>
  <Override PartName="/customUI/images/daily.png" ContentType="image/.png"/>
  <Override PartName="/customUI/images/monthly.png" ContentType="image/.png"/>
  <Override PartName="/customUI/images/next.png" ContentType="image/.png"/>
  <Override PartName="/customUI/images/milestone.png" ContentType="image/.png"/>
  <Override PartName="/customUI/images/holidays.png" ContentType="image/.png"/>
  <Override PartName="/customUI/images/concern.png" ContentType="image/.png"/>
  <Override PartName="/customUI/images/about_large.png" ContentType="image/.png"/>
  <Override PartName="/customUI/images/palette_orange.png" ContentType="image/.png"/>
  <Override PartName="/customUI/images/supp_tache.png" ContentType="image/.png"/>
  <Override PartName="/customUI/images/FR.png" ContentType="image/.png"/>
  <Override PartName="/customUI/images/quarter.png" ContentType="image/.png"/>
  <Override PartName="/customUI/images/previous.png" ContentType="image/.png"/>
  <Override PartName="/customUI/images/add.png" ContentType="image/.png"/>
  <Override PartName="/customUI/images/delete.png" ContentType="image/.png"/>
  <Override PartName="/customUI/images/weekly.png" ContentType="image/.png"/>
  <Override PartName="/customUI/images/supp_serie.png" ContentType="image/.png"/>
  <Override PartName="/customUI/images/palette_bleu.png" ContentType="image/.png"/>
  <Override PartName="/customUI/images/fav.png" ContentType="image/.png"/>
  <Override PartName="/customUI/images/GE.png" ContentType="image/.png"/>
  <Override PartName="/customUI/images/langue.png" ContentType="image/.png"/>
  <Override PartName="/customUI/images/palette_defaut.png" ContentType="image/.png"/>
  <Override PartName="/customUI/images/SP.png" ContentType="image/.png"/>
  <Override PartName="/customUI/images/jours_ouvres.png" ContentType="image/.png"/>
  <Override PartName="/customUI/images/criss.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31980412b824bcf"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autoCompressPictures="0"/>
  <mc:AlternateContent xmlns:mc="http://schemas.openxmlformats.org/markup-compatibility/2006">
    <mc:Choice Requires="x15">
      <x15ac:absPath xmlns:x15ac="http://schemas.microsoft.com/office/spreadsheetml/2010/11/ac" url="C:\Users\DELL\Desktop\Projet Patinoire\"/>
    </mc:Choice>
  </mc:AlternateContent>
  <xr:revisionPtr revIDLastSave="0" documentId="13_ncr:1_{454C6492-D66D-4022-A278-6EB9DEA6D360}" xr6:coauthVersionLast="46" xr6:coauthVersionMax="46" xr10:uidLastSave="{00000000-0000-0000-0000-000000000000}"/>
  <bookViews>
    <workbookView xWindow="-120" yWindow="-120" windowWidth="20730" windowHeight="11160" tabRatio="609" xr2:uid="{00000000-000D-0000-FFFF-FFFF00000000}"/>
  </bookViews>
  <sheets>
    <sheet name="Gantt" sheetId="56" r:id="rId1"/>
    <sheet name="Tools" sheetId="14" r:id="rId2"/>
    <sheet name="TranslationTable" sheetId="21" state="veryHidden" r:id="rId3"/>
    <sheet name="HideValues" sheetId="19" state="veryHidden" r:id="rId4"/>
    <sheet name="2007" sheetId="58" state="veryHidden" r:id="rId5"/>
    <sheet name="Start" sheetId="23" state="veryHidden" r:id="rId6"/>
    <sheet name="Introduction" sheetId="24" state="veryHidden" r:id="rId7"/>
  </sheets>
  <functionGroups builtInGroupCount="19"/>
  <definedNames>
    <definedName name="_colAA" localSheetId="0">Gantt!$AA$7</definedName>
    <definedName name="_colAB" localSheetId="0">Gantt!$AB$7</definedName>
    <definedName name="_colAC" localSheetId="0">Gantt!$AC$7</definedName>
    <definedName name="_colAD" localSheetId="0">Gantt!$AD$7</definedName>
    <definedName name="_colAE" localSheetId="0">Gantt!$AE$7</definedName>
    <definedName name="_colAF" localSheetId="0">Gantt!$AF$7</definedName>
    <definedName name="_colAG" localSheetId="0">Gantt!$AG$7</definedName>
    <definedName name="_colAH" localSheetId="0">Gantt!$AH$7</definedName>
    <definedName name="_colAI" localSheetId="0">Gantt!$AI$7</definedName>
    <definedName name="_colAJ" localSheetId="0">Gantt!$AJ$7</definedName>
    <definedName name="_colK" localSheetId="0">Gantt!$K$7</definedName>
    <definedName name="_colL" localSheetId="0">Gantt!$L$7</definedName>
    <definedName name="_colM" localSheetId="0">Gantt!$M$7</definedName>
    <definedName name="_colN" localSheetId="0">Gantt!$N$7</definedName>
    <definedName name="_colO" localSheetId="0">Gantt!$O$7</definedName>
    <definedName name="_colP" localSheetId="0">Gantt!$P$7</definedName>
    <definedName name="_colQ" localSheetId="0">Gantt!$Q$7</definedName>
    <definedName name="_colR" localSheetId="0">Gantt!$R$7</definedName>
    <definedName name="_colS" localSheetId="0">Gantt!$S$7</definedName>
    <definedName name="_colT" localSheetId="0">Gantt!$T$7</definedName>
    <definedName name="_colU" localSheetId="0">Gantt!$U$7</definedName>
    <definedName name="_colV" localSheetId="0">Gantt!$V$7</definedName>
    <definedName name="_colW" localSheetId="0">Gantt!$W$7</definedName>
    <definedName name="_colX" localSheetId="0">Gantt!$X$7</definedName>
    <definedName name="_colY" localSheetId="0">Gantt!$Y$7</definedName>
    <definedName name="_colZ" localSheetId="0">Gantt!$Z$7</definedName>
    <definedName name="_xlnm._FilterDatabase" localSheetId="0" hidden="1">Gantt!$K$18:$AH$54</definedName>
    <definedName name="_xlnm._FilterDatabase" localSheetId="2" hidden="1">TranslationTable!$A$19:$Q$346</definedName>
    <definedName name="_row10" localSheetId="0">Gantt!$J$10</definedName>
    <definedName name="_row11" localSheetId="0">Gantt!$J$11</definedName>
    <definedName name="_row12" localSheetId="0">Gantt!$J$12</definedName>
    <definedName name="_row13" localSheetId="0">Gantt!$J$13</definedName>
    <definedName name="_row14" localSheetId="0">Gantt!$J$14</definedName>
    <definedName name="_row15" localSheetId="0">Gantt!$J$15</definedName>
    <definedName name="_row16" localSheetId="0">Gantt!$J$16</definedName>
    <definedName name="_row17" localSheetId="0">Gantt!$J$17</definedName>
    <definedName name="_row18" localSheetId="0">Gantt!$J$18</definedName>
    <definedName name="_row6" localSheetId="0">Gantt!$J$6</definedName>
    <definedName name="_row7" localSheetId="0">Gantt!$J$7</definedName>
    <definedName name="_row8" localSheetId="0">Gantt!$J$8</definedName>
    <definedName name="_row9" localSheetId="0">Gantt!$J$9</definedName>
    <definedName name="add_task_header" localSheetId="0">Gantt!$FP$7</definedName>
    <definedName name="add_task_nb_rows" localSheetId="0">Gantt!$FS$7</definedName>
    <definedName name="add_task_position" localSheetId="0">Gantt!$FM$7</definedName>
    <definedName name="add_task_renumber" localSheetId="0">Gantt!$FT$7</definedName>
    <definedName name="Budget_Line1">HideValues!$B$77</definedName>
    <definedName name="Budget_Line2">HideValues!$B$78</definedName>
    <definedName name="Budget_LinkCell" localSheetId="0">Gantt!$HG$7</definedName>
    <definedName name="Budget_Title">HideValues!$B$79</definedName>
    <definedName name="Build_Date">HideValues!$P$118</definedName>
    <definedName name="Build_Number">HideValues!$P$114</definedName>
    <definedName name="CF_Budget" localSheetId="0">Gantt!$LD$7</definedName>
    <definedName name="CF_Dur_Type" localSheetId="0">Gantt!$OQ$7</definedName>
    <definedName name="CF_Duration" localSheetId="0">Gantt!$OI$7</definedName>
    <definedName name="CF_Flags" localSheetId="0">Gantt!$LR$7</definedName>
    <definedName name="CF_Gantt_Engine_1" localSheetId="0">Gantt!$KW$7</definedName>
    <definedName name="CF_Gantt_Engine_2" localSheetId="0">Gantt!$MT$7</definedName>
    <definedName name="CF_Gantt_Engine_3" localSheetId="0">Gantt!$NC$7</definedName>
    <definedName name="CF_Gantt_Engine_4" localSheetId="0">Gantt!$NL$7</definedName>
    <definedName name="CF_Gantt_Engine_5" localSheetId="0">Gantt!$NU$7</definedName>
    <definedName name="CF_Gantt_Engine_6" localSheetId="0">Gantt!$MG$7</definedName>
    <definedName name="CF_Round_Flag" localSheetId="0">Gantt!$LK$7</definedName>
    <definedName name="CF_Start" localSheetId="0">Gantt!$OB$7</definedName>
    <definedName name="CF_Type" localSheetId="0">Gantt!$LX$7</definedName>
    <definedName name="Comment_LinkCell" localSheetId="0">Gantt!$HL$7</definedName>
    <definedName name="Criss_Cross_Bool">HideValues!$D$82</definedName>
    <definedName name="ctx_menu_titles">HideValues!$G$87:$G$133</definedName>
    <definedName name="ctx_menu_titles_count">HideValues!$H$87</definedName>
    <definedName name="Current_Language">TranslationTable!$B$15</definedName>
    <definedName name="Delete_Title">HideValues!$B$69</definedName>
    <definedName name="Delete_Wrn_Msg">HideValues!$B$70</definedName>
    <definedName name="Dep_Imp_Title">HideValues!$B$73</definedName>
    <definedName name="Dep_Imp_Warning">HideValues!$B$74</definedName>
    <definedName name="dur_type_d">HideValues!$J$55</definedName>
    <definedName name="dur_type_m">HideValues!$J$57</definedName>
    <definedName name="dur_type_w">HideValues!$J$56</definedName>
    <definedName name="Email_Subject">HideValues!$B$66</definedName>
    <definedName name="Email_Wng_Msg_Text">HideValues!$B$65</definedName>
    <definedName name="Email_Wng_Msg_Title">HideValues!$B$64</definedName>
    <definedName name="First_Day_Lowest" localSheetId="0">Gantt!$EV$7</definedName>
    <definedName name="First_Day_Lowest_D" localSheetId="0">Gantt!$EZ$7</definedName>
    <definedName name="First_Day_Lowest_M" localSheetId="0">Gantt!$FB$7</definedName>
    <definedName name="First_Day_Lowest_Y" localSheetId="0">Gantt!$FD$7</definedName>
    <definedName name="First_Day_Monthly" localSheetId="0">Gantt!$AJ$14</definedName>
    <definedName name="First_Day_Today_D" localSheetId="0">Gantt!$EI$7</definedName>
    <definedName name="First_Day_Today_M" localSheetId="0">Gantt!$EK$7</definedName>
    <definedName name="First_Day_Today_Y" localSheetId="0">Gantt!$EM$7</definedName>
    <definedName name="First_Day_Week" localSheetId="0">Gantt!$GU$7</definedName>
    <definedName name="First_Day_Week2" localSheetId="0">Gantt!$GV$7</definedName>
    <definedName name="First_Time_Tag">HideValues!$M$89</definedName>
    <definedName name="First_Time_Used">HideValues!$M$93</definedName>
    <definedName name="Holiday_Days">Tools!$B$10:$B$300</definedName>
    <definedName name="_xlnm.Print_Titles" localSheetId="0">Gantt!$K:$AI,Gantt!$8:$18</definedName>
    <definedName name="Macro_Reminder">HideValues!$B$3</definedName>
    <definedName name="Monthly_View_Header_Pctg" localSheetId="0">Gantt!$AG$14</definedName>
    <definedName name="MS_Trans" localSheetId="0">Gantt!$RN$7</definedName>
    <definedName name="PC_MAC_Flag">HideValues!$M$120</definedName>
    <definedName name="PIC_1" localSheetId="0">Gantt!$QA$7</definedName>
    <definedName name="PIC_10" localSheetId="0">Gantt!$QJ$7</definedName>
    <definedName name="PIC_11" localSheetId="0">Gantt!$QK$7</definedName>
    <definedName name="PIC_12" localSheetId="0">Gantt!$QL$7</definedName>
    <definedName name="PIC_13" localSheetId="0">Gantt!$QM$7</definedName>
    <definedName name="PIC_14" localSheetId="0">Gantt!$QN$7</definedName>
    <definedName name="PIC_15" localSheetId="0">Gantt!$QO$7</definedName>
    <definedName name="PIC_16" localSheetId="0">Gantt!$QP$7</definedName>
    <definedName name="PIC_17" localSheetId="0">Gantt!$QQ$7</definedName>
    <definedName name="PIC_18" localSheetId="0">Gantt!$QQ$7</definedName>
    <definedName name="PIC_19" localSheetId="0">Gantt!$QR$7</definedName>
    <definedName name="PIC_2" localSheetId="0">Gantt!$QB$7</definedName>
    <definedName name="PIC_20" localSheetId="0">Gantt!$QS$7</definedName>
    <definedName name="PIC_3" localSheetId="0">Gantt!$QC$7</definedName>
    <definedName name="PIC_4" localSheetId="0">Gantt!$QD$7</definedName>
    <definedName name="PIC_5" localSheetId="0">Gantt!$QE$7</definedName>
    <definedName name="PIC_6" localSheetId="0">Gantt!$QF$7</definedName>
    <definedName name="PIC_7" localSheetId="0">Gantt!$QG$7</definedName>
    <definedName name="PIC_8" localSheetId="0">Gantt!$QH$7</definedName>
    <definedName name="PIC_9" localSheetId="0">Gantt!$QI$7</definedName>
    <definedName name="PIC_All" localSheetId="0">Gantt!$QA$7:$QS$7</definedName>
    <definedName name="Red_Bkmark_D" localSheetId="0">Gantt!$DJ$7</definedName>
    <definedName name="Red_Bkmark_M" localSheetId="0">Gantt!$DO$7</definedName>
    <definedName name="Red_Bkmark_Y" localSheetId="0">Gantt!$DT$7</definedName>
    <definedName name="Red_Bookmark" localSheetId="0">Gantt!$DC$7</definedName>
    <definedName name="Ribbon_Dictionnary">HideValues!$J$87:$K$212</definedName>
    <definedName name="Sheet_Type" localSheetId="0">"Gantt"</definedName>
    <definedName name="Show_Weekly_Daily" localSheetId="0">Gantt!$CR$7</definedName>
    <definedName name="Start_D_Daily_D" localSheetId="0">Gantt!$BN$7</definedName>
    <definedName name="Start_D_Daily_M" localSheetId="0">Gantt!$BS$7</definedName>
    <definedName name="Start_D_Daily_Y" localSheetId="0">Gantt!$BX$7</definedName>
    <definedName name="Start_D_Daily_Y2" localSheetId="0">Gantt!$BZ$7</definedName>
    <definedName name="Start_Date_Fusion" localSheetId="0">Gantt!$AV$7</definedName>
    <definedName name="Sub_Task_Trans" localSheetId="0">Gantt!$RM$7</definedName>
    <definedName name="Survey_URL">HideValues!$M$106</definedName>
    <definedName name="target_date_picker" localSheetId="0">Gantt!$PP$7</definedName>
    <definedName name="Task_Trans" localSheetId="0">Gantt!$RL$7</definedName>
    <definedName name="Title_Actual" localSheetId="0">Gantt!$AF$18</definedName>
    <definedName name="Title_Actual_W" localSheetId="0">Gantt!$AF$15</definedName>
    <definedName name="Title_AllDays" localSheetId="0">Gantt!$X$18</definedName>
    <definedName name="Title_AllDays_W" localSheetId="0">Gantt!$X$15</definedName>
    <definedName name="Title_Budget" localSheetId="0">Gantt!$AE$17</definedName>
    <definedName name="Title_Budget_Perc" localSheetId="0">Gantt!$AG$18</definedName>
    <definedName name="Title_Budget_Perc_W" localSheetId="0">Gantt!$AG$15</definedName>
    <definedName name="Title_Color" localSheetId="0">Gantt!$Q$18</definedName>
    <definedName name="Title_Color_W" localSheetId="0">Gantt!$Q$15</definedName>
    <definedName name="Title_Comments" localSheetId="0">Gantt!$AI$17</definedName>
    <definedName name="Title_Comments_W" localSheetId="0">Gantt!$AI$15</definedName>
    <definedName name="Title_Due" localSheetId="0">Gantt!$Y$18</definedName>
    <definedName name="Title_Due_W" localSheetId="0">Gantt!$Y$15</definedName>
    <definedName name="Title_Duration" localSheetId="0">Gantt!$T$18</definedName>
    <definedName name="Title_Duration_W" localSheetId="0">Gantt!$T$15</definedName>
    <definedName name="Title_Leader" localSheetId="0">Gantt!$P$18</definedName>
    <definedName name="Title_Leader_W" localSheetId="0">Gantt!$P$15</definedName>
    <definedName name="Title_Plan" localSheetId="0">Gantt!$AE$18</definedName>
    <definedName name="Title_Plan_W" localSheetId="0">Gantt!$AE$15</definedName>
    <definedName name="Title_Planning" localSheetId="0">Gantt!$Q$17</definedName>
    <definedName name="Title_Progress" localSheetId="0">Gantt!$AB$18</definedName>
    <definedName name="Title_Progress_W" localSheetId="0">Gantt!$AB$15</definedName>
    <definedName name="Title_Recal_Dur" localSheetId="0">Gantt!$V$18</definedName>
    <definedName name="Title_Recal_Dur_W" localSheetId="0">Gantt!$V$15</definedName>
    <definedName name="Title_Recal_End" localSheetId="0">Gantt!$AA$18</definedName>
    <definedName name="Title_Recal_Start" localSheetId="0">Gantt!$Z$18</definedName>
    <definedName name="Title_Start" localSheetId="0">Gantt!$S$18</definedName>
    <definedName name="Title_Start_W" localSheetId="0">Gantt!$S$15</definedName>
    <definedName name="Title_Task_Level" localSheetId="0">Gantt!$R$18</definedName>
    <definedName name="Title_Task_Level_W" localSheetId="0">Gantt!$R$15</definedName>
    <definedName name="Title_Wdays" localSheetId="0">Gantt!$W$18</definedName>
    <definedName name="Title_Wdays_W" localSheetId="0">Gantt!$W$15</definedName>
    <definedName name="Usage_Counter">HideValues!$M$97</definedName>
    <definedName name="Version_Value">HideValues!$M$114</definedName>
    <definedName name="WE_Days" localSheetId="0">Gantt!$HB$7</definedName>
    <definedName name="WE_Days_LinkCell" localSheetId="0">Gantt!$HA$7</definedName>
    <definedName name="Week_Name" localSheetId="0">Gantt!$GM$7</definedName>
    <definedName name="Week_Name_LinkCell" localSheetId="0">Gantt!$GL$7</definedName>
    <definedName name="Work_D_Only_Bool" localSheetId="0">Gantt!$GE$7</definedName>
    <definedName name="Work_D_Only_LinkCell" localSheetId="0">Gantt!$GD$7</definedName>
    <definedName name="_xlnm.Print_Area" localSheetId="0">Gantt!$K$10:$CM$54</definedName>
    <definedName name="Zoom_Fav_Size">HideValues!$A$82</definedName>
  </definedNames>
  <calcPr calcId="191029" concurrentCalc="0"/>
  <extLst>
    <ext xmlns:mx="http://schemas.microsoft.com/office/mac/excel/2008/main" uri="{7523E5D3-25F3-A5E0-1632-64F254C22452}">
      <mx:ArchID Flags="2"/>
    </ext>
  </extLst>
</workbook>
</file>

<file path=xl/calcChain.xml><?xml version="1.0" encoding="utf-8"?>
<calcChain xmlns="http://schemas.openxmlformats.org/spreadsheetml/2006/main">
  <c r="V44" i="56" l="1"/>
  <c r="X44" i="56"/>
  <c r="Y44" i="56"/>
  <c r="AA44" i="56"/>
  <c r="V45" i="56"/>
  <c r="X45" i="56"/>
  <c r="Y45" i="56"/>
  <c r="AA45" i="56"/>
  <c r="V46" i="56"/>
  <c r="X46" i="56"/>
  <c r="Y46" i="56"/>
  <c r="AA46" i="56"/>
  <c r="V47" i="56"/>
  <c r="X47" i="56"/>
  <c r="Y47" i="56"/>
  <c r="AA47" i="56"/>
  <c r="V48" i="56"/>
  <c r="X48" i="56"/>
  <c r="Y48" i="56"/>
  <c r="AA48" i="56"/>
  <c r="V49" i="56"/>
  <c r="X49" i="56"/>
  <c r="Y49" i="56"/>
  <c r="AA49" i="56"/>
  <c r="V50" i="56"/>
  <c r="X50" i="56"/>
  <c r="Y50" i="56"/>
  <c r="AA50" i="56"/>
  <c r="V51" i="56"/>
  <c r="X51" i="56"/>
  <c r="Y51" i="56"/>
  <c r="AA51" i="56"/>
  <c r="V41" i="56"/>
  <c r="X41" i="56"/>
  <c r="Y41" i="56"/>
  <c r="AA41" i="56"/>
  <c r="V42" i="56"/>
  <c r="X42" i="56"/>
  <c r="Y42" i="56"/>
  <c r="AA42" i="56"/>
  <c r="V43" i="56"/>
  <c r="X43" i="56"/>
  <c r="Y43" i="56"/>
  <c r="AA43" i="56"/>
  <c r="Y40" i="56"/>
  <c r="Z44" i="56"/>
  <c r="Z45" i="56"/>
  <c r="Z46" i="56"/>
  <c r="Z47" i="56"/>
  <c r="Z48" i="56"/>
  <c r="Z49" i="56"/>
  <c r="Z50" i="56"/>
  <c r="Z51" i="56"/>
  <c r="Z41" i="56"/>
  <c r="Z42" i="56"/>
  <c r="Z43" i="56"/>
  <c r="S40" i="56"/>
  <c r="T40" i="56"/>
  <c r="GE7" i="56"/>
  <c r="AB40" i="56"/>
  <c r="AC43" i="56"/>
  <c r="DV7" i="56"/>
  <c r="DC7" i="56"/>
  <c r="AD43" i="56"/>
  <c r="Q43" i="56"/>
  <c r="AC51" i="56"/>
  <c r="AD51" i="56"/>
  <c r="Q51" i="56"/>
  <c r="AC50" i="56"/>
  <c r="AD50" i="56"/>
  <c r="Q50" i="56"/>
  <c r="AC49" i="56"/>
  <c r="AD49" i="56"/>
  <c r="Q49" i="56"/>
  <c r="AC48" i="56"/>
  <c r="AD48" i="56"/>
  <c r="Q48" i="56"/>
  <c r="AC47" i="56"/>
  <c r="AD47" i="56"/>
  <c r="Q47" i="56"/>
  <c r="AC46" i="56"/>
  <c r="AD46" i="56"/>
  <c r="Q46" i="56"/>
  <c r="AC45" i="56"/>
  <c r="AD45" i="56"/>
  <c r="Q45" i="56"/>
  <c r="AC44" i="56"/>
  <c r="AD44" i="56"/>
  <c r="Q44" i="56"/>
  <c r="V53" i="56"/>
  <c r="X53" i="56"/>
  <c r="Y53" i="56"/>
  <c r="AA53" i="56"/>
  <c r="V54" i="56"/>
  <c r="X54" i="56"/>
  <c r="Y54" i="56"/>
  <c r="AA54" i="56"/>
  <c r="Y52" i="56"/>
  <c r="Z53" i="56"/>
  <c r="Z54" i="56"/>
  <c r="S52" i="56"/>
  <c r="T52" i="56"/>
  <c r="V24" i="56"/>
  <c r="X24" i="56"/>
  <c r="Y24" i="56"/>
  <c r="AA24" i="56"/>
  <c r="V25" i="56"/>
  <c r="X25" i="56"/>
  <c r="Y25" i="56"/>
  <c r="AA25" i="56"/>
  <c r="V26" i="56"/>
  <c r="X26" i="56"/>
  <c r="Y26" i="56"/>
  <c r="AA26" i="56"/>
  <c r="Y23" i="56"/>
  <c r="Z24" i="56"/>
  <c r="Z25" i="56"/>
  <c r="Z26" i="56"/>
  <c r="S23" i="56"/>
  <c r="T23" i="56"/>
  <c r="AB52" i="56"/>
  <c r="V36" i="56"/>
  <c r="X36" i="56"/>
  <c r="Y36" i="56"/>
  <c r="AA36" i="56"/>
  <c r="V37" i="56"/>
  <c r="X37" i="56"/>
  <c r="Y37" i="56"/>
  <c r="AA37" i="56"/>
  <c r="V38" i="56"/>
  <c r="X38" i="56"/>
  <c r="Y38" i="56"/>
  <c r="AA38" i="56"/>
  <c r="V39" i="56"/>
  <c r="X39" i="56"/>
  <c r="Y39" i="56"/>
  <c r="AA39" i="56"/>
  <c r="Y35" i="56"/>
  <c r="Z36" i="56"/>
  <c r="Z37" i="56"/>
  <c r="Z38" i="56"/>
  <c r="Z39" i="56"/>
  <c r="S35" i="56"/>
  <c r="AC39" i="56"/>
  <c r="AD39" i="56"/>
  <c r="Q39" i="56"/>
  <c r="AC38" i="56"/>
  <c r="AD38" i="56"/>
  <c r="Q38" i="56"/>
  <c r="AC37" i="56"/>
  <c r="AD37" i="56"/>
  <c r="Q37" i="56"/>
  <c r="V29" i="56"/>
  <c r="X29" i="56"/>
  <c r="Y29" i="56"/>
  <c r="AA29" i="56"/>
  <c r="V30" i="56"/>
  <c r="X30" i="56"/>
  <c r="Y30" i="56"/>
  <c r="AA30" i="56"/>
  <c r="V31" i="56"/>
  <c r="X31" i="56"/>
  <c r="Y31" i="56"/>
  <c r="AA31" i="56"/>
  <c r="V32" i="56"/>
  <c r="X32" i="56"/>
  <c r="Y32" i="56"/>
  <c r="AA32" i="56"/>
  <c r="V33" i="56"/>
  <c r="X33" i="56"/>
  <c r="Y33" i="56"/>
  <c r="AA33" i="56"/>
  <c r="V34" i="56"/>
  <c r="X34" i="56"/>
  <c r="Y34" i="56"/>
  <c r="AA34" i="56"/>
  <c r="V28" i="56"/>
  <c r="X28" i="56"/>
  <c r="Y28" i="56"/>
  <c r="AA28" i="56"/>
  <c r="AB27" i="56"/>
  <c r="Y27" i="56"/>
  <c r="Z29" i="56"/>
  <c r="Z30" i="56"/>
  <c r="Z31" i="56"/>
  <c r="Z32" i="56"/>
  <c r="Z33" i="56"/>
  <c r="Z34" i="56"/>
  <c r="Z28" i="56"/>
  <c r="S27" i="56"/>
  <c r="AC34" i="56"/>
  <c r="AD34" i="56"/>
  <c r="Q34" i="56"/>
  <c r="AC33" i="56"/>
  <c r="AD33" i="56"/>
  <c r="Q33" i="56"/>
  <c r="AC32" i="56"/>
  <c r="AD32" i="56"/>
  <c r="Q32" i="56"/>
  <c r="AC31" i="56"/>
  <c r="AD31" i="56"/>
  <c r="Q31" i="56"/>
  <c r="AC30" i="56"/>
  <c r="AD30" i="56"/>
  <c r="Q30" i="56"/>
  <c r="AC26" i="56"/>
  <c r="AD26" i="56"/>
  <c r="Q26" i="56"/>
  <c r="T35" i="56"/>
  <c r="T27" i="56"/>
  <c r="HB7" i="56"/>
  <c r="AC24" i="56"/>
  <c r="AD24" i="56"/>
  <c r="Q24" i="56"/>
  <c r="F343" i="21"/>
  <c r="E343" i="21"/>
  <c r="AC54" i="56"/>
  <c r="AD54" i="56"/>
  <c r="Q54" i="56"/>
  <c r="AC53" i="56"/>
  <c r="AD53" i="56"/>
  <c r="Q53" i="56"/>
  <c r="AC42" i="56"/>
  <c r="AD42" i="56"/>
  <c r="Q42" i="56"/>
  <c r="AC41" i="56"/>
  <c r="AD41" i="56"/>
  <c r="Q41" i="56"/>
  <c r="AC36" i="56"/>
  <c r="AD36" i="56"/>
  <c r="Q36" i="56"/>
  <c r="AC29" i="56"/>
  <c r="AD29" i="56"/>
  <c r="Q29" i="56"/>
  <c r="AC28" i="56"/>
  <c r="AD28" i="56"/>
  <c r="Q28" i="56"/>
  <c r="Z27" i="56"/>
  <c r="AA27" i="56"/>
  <c r="X27" i="56"/>
  <c r="AC25" i="56"/>
  <c r="AD25" i="56"/>
  <c r="Q25" i="56"/>
  <c r="V20" i="56"/>
  <c r="X20" i="56"/>
  <c r="Y20" i="56"/>
  <c r="S21" i="56"/>
  <c r="V21" i="56"/>
  <c r="X21" i="56"/>
  <c r="Y21" i="56"/>
  <c r="Z21" i="56"/>
  <c r="AA21" i="56"/>
  <c r="AC21" i="56"/>
  <c r="AD21" i="56"/>
  <c r="Q21" i="56"/>
  <c r="Z20" i="56"/>
  <c r="AA20" i="56"/>
  <c r="AC20" i="56"/>
  <c r="AD20" i="56"/>
  <c r="Q20" i="56"/>
  <c r="AB19" i="56"/>
  <c r="S19" i="56"/>
  <c r="Y19" i="56"/>
  <c r="T19" i="56"/>
  <c r="AC19" i="56"/>
  <c r="AD19" i="56"/>
  <c r="BZ7" i="56"/>
  <c r="BG7" i="56"/>
  <c r="CI7" i="56"/>
  <c r="CM7" i="56"/>
  <c r="CN7" i="56"/>
  <c r="AV7" i="56"/>
  <c r="AJ9" i="56"/>
  <c r="AK9" i="56"/>
  <c r="AL9" i="56"/>
  <c r="AM9" i="56"/>
  <c r="AN9" i="56"/>
  <c r="AO9" i="56"/>
  <c r="AP9" i="56"/>
  <c r="AQ9" i="56"/>
  <c r="AR9" i="56"/>
  <c r="AS9" i="56"/>
  <c r="AT9" i="56"/>
  <c r="AU9" i="56"/>
  <c r="AV9" i="56"/>
  <c r="AW9" i="56"/>
  <c r="AX9" i="56"/>
  <c r="AY9" i="56"/>
  <c r="AZ9" i="56"/>
  <c r="BA9" i="56"/>
  <c r="BB9" i="56"/>
  <c r="BC9" i="56"/>
  <c r="BD9" i="56"/>
  <c r="BE9" i="56"/>
  <c r="BF9" i="56"/>
  <c r="BG9" i="56"/>
  <c r="BH9" i="56"/>
  <c r="BI9" i="56"/>
  <c r="BJ9" i="56"/>
  <c r="BK9" i="56"/>
  <c r="BL9" i="56"/>
  <c r="BM9" i="56"/>
  <c r="BN9" i="56"/>
  <c r="BO9" i="56"/>
  <c r="BP9" i="56"/>
  <c r="BQ9" i="56"/>
  <c r="BR9" i="56"/>
  <c r="BS9" i="56"/>
  <c r="BT9" i="56"/>
  <c r="BU9" i="56"/>
  <c r="BV9" i="56"/>
  <c r="BW9" i="56"/>
  <c r="BX9" i="56"/>
  <c r="BY9" i="56"/>
  <c r="BZ9" i="56"/>
  <c r="CA9" i="56"/>
  <c r="CB9" i="56"/>
  <c r="CC9" i="56"/>
  <c r="CD9" i="56"/>
  <c r="CE9" i="56"/>
  <c r="CF9" i="56"/>
  <c r="CG9" i="56"/>
  <c r="CH9" i="56"/>
  <c r="CI9" i="56"/>
  <c r="CJ9" i="56"/>
  <c r="CK9" i="56"/>
  <c r="CL9" i="56"/>
  <c r="CM9" i="56"/>
  <c r="CN9" i="56"/>
  <c r="CO9" i="56"/>
  <c r="CP9" i="56"/>
  <c r="CQ9" i="56"/>
  <c r="CR9" i="56"/>
  <c r="CS9" i="56"/>
  <c r="CT9" i="56"/>
  <c r="CU9" i="56"/>
  <c r="CV9" i="56"/>
  <c r="CW9" i="56"/>
  <c r="CX9" i="56"/>
  <c r="CY9" i="56"/>
  <c r="CZ9" i="56"/>
  <c r="DA9" i="56"/>
  <c r="DB9" i="56"/>
  <c r="DC9" i="56"/>
  <c r="DD9" i="56"/>
  <c r="DE9" i="56"/>
  <c r="DF9" i="56"/>
  <c r="DG9" i="56"/>
  <c r="DH9" i="56"/>
  <c r="DI9" i="56"/>
  <c r="DJ9" i="56"/>
  <c r="DK9" i="56"/>
  <c r="DL9" i="56"/>
  <c r="DM9" i="56"/>
  <c r="DN9" i="56"/>
  <c r="DO9" i="56"/>
  <c r="DP9" i="56"/>
  <c r="DQ9" i="56"/>
  <c r="DR9" i="56"/>
  <c r="DS9" i="56"/>
  <c r="DT9" i="56"/>
  <c r="DU9" i="56"/>
  <c r="DV9" i="56"/>
  <c r="DW9" i="56"/>
  <c r="DX9" i="56"/>
  <c r="DY9" i="56"/>
  <c r="DZ9" i="56"/>
  <c r="EA9" i="56"/>
  <c r="EB9" i="56"/>
  <c r="EC9" i="56"/>
  <c r="ED9" i="56"/>
  <c r="EE9" i="56"/>
  <c r="EF9" i="56"/>
  <c r="EG9" i="56"/>
  <c r="EH9" i="56"/>
  <c r="EI9" i="56"/>
  <c r="EJ9" i="56"/>
  <c r="EK9" i="56"/>
  <c r="EL9" i="56"/>
  <c r="EM9" i="56"/>
  <c r="EN9" i="56"/>
  <c r="EO9" i="56"/>
  <c r="EP9" i="56"/>
  <c r="EQ9" i="56"/>
  <c r="ER9" i="56"/>
  <c r="ES9" i="56"/>
  <c r="ET9" i="56"/>
  <c r="EU9" i="56"/>
  <c r="EV9" i="56"/>
  <c r="EW9" i="56"/>
  <c r="EX9" i="56"/>
  <c r="EY9" i="56"/>
  <c r="EZ9" i="56"/>
  <c r="FA9" i="56"/>
  <c r="FB9" i="56"/>
  <c r="FC9" i="56"/>
  <c r="FD9" i="56"/>
  <c r="FE9" i="56"/>
  <c r="FF9" i="56"/>
  <c r="FG9" i="56"/>
  <c r="FH9" i="56"/>
  <c r="FI9" i="56"/>
  <c r="FJ9" i="56"/>
  <c r="FK9" i="56"/>
  <c r="FL9" i="56"/>
  <c r="FM9" i="56"/>
  <c r="FN9" i="56"/>
  <c r="FO9" i="56"/>
  <c r="FP9" i="56"/>
  <c r="FQ9" i="56"/>
  <c r="FR9" i="56"/>
  <c r="FS9" i="56"/>
  <c r="FT9" i="56"/>
  <c r="FU9" i="56"/>
  <c r="FV9" i="56"/>
  <c r="FW9" i="56"/>
  <c r="FX9" i="56"/>
  <c r="FY9" i="56"/>
  <c r="FZ9" i="56"/>
  <c r="GA9" i="56"/>
  <c r="GB9" i="56"/>
  <c r="GC9" i="56"/>
  <c r="GD9" i="56"/>
  <c r="GE9" i="56"/>
  <c r="GF9" i="56"/>
  <c r="GG9" i="56"/>
  <c r="GH9" i="56"/>
  <c r="GI9" i="56"/>
  <c r="GJ9" i="56"/>
  <c r="GK9" i="56"/>
  <c r="GL9" i="56"/>
  <c r="GM9" i="56"/>
  <c r="GN9" i="56"/>
  <c r="GO9" i="56"/>
  <c r="GP9" i="56"/>
  <c r="GQ9" i="56"/>
  <c r="GR9" i="56"/>
  <c r="GS9" i="56"/>
  <c r="GT9" i="56"/>
  <c r="GU9" i="56"/>
  <c r="GV9" i="56"/>
  <c r="GW9" i="56"/>
  <c r="GX9" i="56"/>
  <c r="GY9" i="56"/>
  <c r="GZ9" i="56"/>
  <c r="HA9" i="56"/>
  <c r="HB9" i="56"/>
  <c r="HC9" i="56"/>
  <c r="HD9" i="56"/>
  <c r="HE9" i="56"/>
  <c r="HF9" i="56"/>
  <c r="HG9" i="56"/>
  <c r="HH9" i="56"/>
  <c r="HI9" i="56"/>
  <c r="HJ9" i="56"/>
  <c r="HK9" i="56"/>
  <c r="HL9" i="56"/>
  <c r="HM9" i="56"/>
  <c r="HN9" i="56"/>
  <c r="HO9" i="56"/>
  <c r="HP9" i="56"/>
  <c r="HQ9" i="56"/>
  <c r="HR9" i="56"/>
  <c r="HS9" i="56"/>
  <c r="HT9" i="56"/>
  <c r="HU9" i="56"/>
  <c r="HV9" i="56"/>
  <c r="HW9" i="56"/>
  <c r="HX9" i="56"/>
  <c r="HY9" i="56"/>
  <c r="HZ9" i="56"/>
  <c r="IA9" i="56"/>
  <c r="IB9" i="56"/>
  <c r="IC9" i="56"/>
  <c r="ID9" i="56"/>
  <c r="IE9" i="56"/>
  <c r="IF9" i="56"/>
  <c r="IG9" i="56"/>
  <c r="IH9" i="56"/>
  <c r="II9" i="56"/>
  <c r="IJ9" i="56"/>
  <c r="IK9" i="56"/>
  <c r="IL9" i="56"/>
  <c r="IM9" i="56"/>
  <c r="IN9" i="56"/>
  <c r="IO9" i="56"/>
  <c r="IP9" i="56"/>
  <c r="IQ9" i="56"/>
  <c r="IR9" i="56"/>
  <c r="IS9" i="56"/>
  <c r="IT9" i="56"/>
  <c r="IU9" i="56"/>
  <c r="IV9" i="56"/>
  <c r="IW9" i="56"/>
  <c r="IX9" i="56"/>
  <c r="IY9" i="56"/>
  <c r="IZ9" i="56"/>
  <c r="JA9" i="56"/>
  <c r="JB9" i="56"/>
  <c r="JC9" i="56"/>
  <c r="JD9" i="56"/>
  <c r="JE9" i="56"/>
  <c r="JF9" i="56"/>
  <c r="JG9" i="56"/>
  <c r="JH9" i="56"/>
  <c r="JI9" i="56"/>
  <c r="JJ9" i="56"/>
  <c r="JK9" i="56"/>
  <c r="JL9" i="56"/>
  <c r="JM9" i="56"/>
  <c r="JN9" i="56"/>
  <c r="JO9" i="56"/>
  <c r="JP9" i="56"/>
  <c r="JQ9" i="56"/>
  <c r="JR9" i="56"/>
  <c r="JS9" i="56"/>
  <c r="JT9" i="56"/>
  <c r="JU9" i="56"/>
  <c r="JV9" i="56"/>
  <c r="JW9" i="56"/>
  <c r="JX9" i="56"/>
  <c r="JY9" i="56"/>
  <c r="JZ9" i="56"/>
  <c r="KA9" i="56"/>
  <c r="KB9" i="56"/>
  <c r="KC9" i="56"/>
  <c r="KD9" i="56"/>
  <c r="KE9" i="56"/>
  <c r="KF9" i="56"/>
  <c r="KG9" i="56"/>
  <c r="KH9" i="56"/>
  <c r="KI9" i="56"/>
  <c r="KJ9" i="56"/>
  <c r="KK9" i="56"/>
  <c r="KL9" i="56"/>
  <c r="KM9" i="56"/>
  <c r="KN9" i="56"/>
  <c r="KO9" i="56"/>
  <c r="KP9" i="56"/>
  <c r="KQ9" i="56"/>
  <c r="KR9" i="56"/>
  <c r="KS9" i="56"/>
  <c r="KT9" i="56"/>
  <c r="KU9" i="56"/>
  <c r="KV9" i="56"/>
  <c r="KW9" i="56"/>
  <c r="KX9" i="56"/>
  <c r="KY9" i="56"/>
  <c r="KZ9" i="56"/>
  <c r="LA9" i="56"/>
  <c r="LB9" i="56"/>
  <c r="LC9" i="56"/>
  <c r="LD9" i="56"/>
  <c r="LE9" i="56"/>
  <c r="LF9" i="56"/>
  <c r="LG9" i="56"/>
  <c r="LH9" i="56"/>
  <c r="LI9" i="56"/>
  <c r="LJ9" i="56"/>
  <c r="LK9" i="56"/>
  <c r="LL9" i="56"/>
  <c r="LM9" i="56"/>
  <c r="LN9" i="56"/>
  <c r="LO9" i="56"/>
  <c r="LP9" i="56"/>
  <c r="LQ9" i="56"/>
  <c r="LR9" i="56"/>
  <c r="LS9" i="56"/>
  <c r="LT9" i="56"/>
  <c r="LU9" i="56"/>
  <c r="LV9" i="56"/>
  <c r="LW9" i="56"/>
  <c r="LX9" i="56"/>
  <c r="LY9" i="56"/>
  <c r="LZ9" i="56"/>
  <c r="MA9" i="56"/>
  <c r="MB9" i="56"/>
  <c r="MC9" i="56"/>
  <c r="MD9" i="56"/>
  <c r="ME9" i="56"/>
  <c r="MF9" i="56"/>
  <c r="MG9" i="56"/>
  <c r="MH9" i="56"/>
  <c r="MI9" i="56"/>
  <c r="MJ9" i="56"/>
  <c r="MK9" i="56"/>
  <c r="ML9" i="56"/>
  <c r="MM9" i="56"/>
  <c r="MN9" i="56"/>
  <c r="MO9" i="56"/>
  <c r="MP9" i="56"/>
  <c r="MQ9" i="56"/>
  <c r="MR9" i="56"/>
  <c r="MS9" i="56"/>
  <c r="MT9" i="56"/>
  <c r="MU9" i="56"/>
  <c r="MV9" i="56"/>
  <c r="MW9" i="56"/>
  <c r="MX9" i="56"/>
  <c r="MY9" i="56"/>
  <c r="MZ9" i="56"/>
  <c r="NA9" i="56"/>
  <c r="NB9" i="56"/>
  <c r="NC9" i="56"/>
  <c r="ND9" i="56"/>
  <c r="NE9" i="56"/>
  <c r="NF9" i="56"/>
  <c r="NG9" i="56"/>
  <c r="NH9" i="56"/>
  <c r="NI9" i="56"/>
  <c r="NJ9" i="56"/>
  <c r="NK9" i="56"/>
  <c r="NL9" i="56"/>
  <c r="NM9" i="56"/>
  <c r="NN9" i="56"/>
  <c r="NO9" i="56"/>
  <c r="NP9" i="56"/>
  <c r="NQ9" i="56"/>
  <c r="NR9" i="56"/>
  <c r="NS9" i="56"/>
  <c r="NT9" i="56"/>
  <c r="NU9" i="56"/>
  <c r="NV9" i="56"/>
  <c r="NW9" i="56"/>
  <c r="NX9" i="56"/>
  <c r="NY9" i="56"/>
  <c r="NZ9" i="56"/>
  <c r="OA9" i="56"/>
  <c r="OB9" i="56"/>
  <c r="OC9" i="56"/>
  <c r="OD9" i="56"/>
  <c r="OE9" i="56"/>
  <c r="OF9" i="56"/>
  <c r="OG9" i="56"/>
  <c r="OH9" i="56"/>
  <c r="OI9" i="56"/>
  <c r="OJ9" i="56"/>
  <c r="OK9" i="56"/>
  <c r="OL9" i="56"/>
  <c r="OM9" i="56"/>
  <c r="ON9" i="56"/>
  <c r="OO9" i="56"/>
  <c r="OP9" i="56"/>
  <c r="OQ9" i="56"/>
  <c r="OR9" i="56"/>
  <c r="OS9" i="56"/>
  <c r="OT9" i="56"/>
  <c r="OU9" i="56"/>
  <c r="OV9" i="56"/>
  <c r="OW9" i="56"/>
  <c r="OX9" i="56"/>
  <c r="OY9" i="56"/>
  <c r="OZ9" i="56"/>
  <c r="PA9" i="56"/>
  <c r="PB9" i="56"/>
  <c r="PC9" i="56"/>
  <c r="PD9" i="56"/>
  <c r="PE9" i="56"/>
  <c r="PF9" i="56"/>
  <c r="PG9" i="56"/>
  <c r="PH9" i="56"/>
  <c r="PI9" i="56"/>
  <c r="PJ9" i="56"/>
  <c r="PK9" i="56"/>
  <c r="PL9" i="56"/>
  <c r="PM9" i="56"/>
  <c r="PN9" i="56"/>
  <c r="PO9" i="56"/>
  <c r="PP9" i="56"/>
  <c r="PQ9" i="56"/>
  <c r="PR9" i="56"/>
  <c r="PS9" i="56"/>
  <c r="PT9" i="56"/>
  <c r="PU9" i="56"/>
  <c r="PV9" i="56"/>
  <c r="PW9" i="56"/>
  <c r="PX9" i="56"/>
  <c r="PY9" i="56"/>
  <c r="PZ9" i="56"/>
  <c r="QA9" i="56"/>
  <c r="QB9" i="56"/>
  <c r="QC9" i="56"/>
  <c r="QD9" i="56"/>
  <c r="QE9" i="56"/>
  <c r="QF9" i="56"/>
  <c r="QG9" i="56"/>
  <c r="QH9" i="56"/>
  <c r="QI9" i="56"/>
  <c r="QJ9" i="56"/>
  <c r="QK9" i="56"/>
  <c r="QL9" i="56"/>
  <c r="QM9" i="56"/>
  <c r="QN9" i="56"/>
  <c r="QO9" i="56"/>
  <c r="QP9" i="56"/>
  <c r="QQ9" i="56"/>
  <c r="QR9" i="56"/>
  <c r="QS9" i="56"/>
  <c r="QT9" i="56"/>
  <c r="QU9" i="56"/>
  <c r="QV9" i="56"/>
  <c r="QW9" i="56"/>
  <c r="QX9" i="56"/>
  <c r="QY9" i="56"/>
  <c r="QZ9" i="56"/>
  <c r="RA9" i="56"/>
  <c r="RB9" i="56"/>
  <c r="RC9" i="56"/>
  <c r="RD9" i="56"/>
  <c r="RE9" i="56"/>
  <c r="RF9" i="56"/>
  <c r="RG9" i="56"/>
  <c r="RH9" i="56"/>
  <c r="RI9" i="56"/>
  <c r="RJ9" i="56"/>
  <c r="RK9" i="56"/>
  <c r="RL9" i="56"/>
  <c r="RM9" i="56"/>
  <c r="RN9" i="56"/>
  <c r="RO9" i="56"/>
  <c r="RP9" i="56"/>
  <c r="RQ9" i="56"/>
  <c r="RR9" i="56"/>
  <c r="RS9" i="56"/>
  <c r="RT9" i="56"/>
  <c r="RU9" i="56"/>
  <c r="RV9" i="56"/>
  <c r="RW9" i="56"/>
  <c r="RX9" i="56"/>
  <c r="RY9" i="56"/>
  <c r="RZ9" i="56"/>
  <c r="SA9" i="56"/>
  <c r="SB9" i="56"/>
  <c r="SC9" i="56"/>
  <c r="SD9" i="56"/>
  <c r="SE9" i="56"/>
  <c r="SF9" i="56"/>
  <c r="SG9" i="56"/>
  <c r="SH9" i="56"/>
  <c r="SI9" i="56"/>
  <c r="SJ9" i="56"/>
  <c r="SK9" i="56"/>
  <c r="SL9" i="56"/>
  <c r="SM9" i="56"/>
  <c r="SN9" i="56"/>
  <c r="SO9" i="56"/>
  <c r="SP9" i="56"/>
  <c r="SQ9" i="56"/>
  <c r="SR9" i="56"/>
  <c r="SS9" i="56"/>
  <c r="ST9" i="56"/>
  <c r="SU9" i="56"/>
  <c r="SV9" i="56"/>
  <c r="SW9" i="56"/>
  <c r="SX9" i="56"/>
  <c r="SY9" i="56"/>
  <c r="SZ9" i="56"/>
  <c r="TA9" i="56"/>
  <c r="TB9" i="56"/>
  <c r="TC9" i="56"/>
  <c r="TD9" i="56"/>
  <c r="TE9" i="56"/>
  <c r="TF9" i="56"/>
  <c r="TG9" i="56"/>
  <c r="TH9" i="56"/>
  <c r="TI9" i="56"/>
  <c r="TJ9" i="56"/>
  <c r="TK9" i="56"/>
  <c r="TL9" i="56"/>
  <c r="TM9" i="56"/>
  <c r="TN9" i="56"/>
  <c r="TO9" i="56"/>
  <c r="TP9" i="56"/>
  <c r="TQ9" i="56"/>
  <c r="TR9" i="56"/>
  <c r="TS9" i="56"/>
  <c r="TT9" i="56"/>
  <c r="TU9" i="56"/>
  <c r="TV9" i="56"/>
  <c r="TW9" i="56"/>
  <c r="TX9" i="56"/>
  <c r="TY9" i="56"/>
  <c r="TZ9" i="56"/>
  <c r="UA9" i="56"/>
  <c r="UB9" i="56"/>
  <c r="UC9" i="56"/>
  <c r="UD9" i="56"/>
  <c r="UE9" i="56"/>
  <c r="UF9" i="56"/>
  <c r="UG9" i="56"/>
  <c r="UH9" i="56"/>
  <c r="UI9" i="56"/>
  <c r="UJ9" i="56"/>
  <c r="UK9" i="56"/>
  <c r="UL9" i="56"/>
  <c r="UM9" i="56"/>
  <c r="UM18" i="56"/>
  <c r="UL18" i="56"/>
  <c r="UK18" i="56"/>
  <c r="UJ18" i="56"/>
  <c r="UI18" i="56"/>
  <c r="UH18" i="56"/>
  <c r="UG18" i="56"/>
  <c r="UF18" i="56"/>
  <c r="UE18" i="56"/>
  <c r="UD18" i="56"/>
  <c r="UC18" i="56"/>
  <c r="UB18" i="56"/>
  <c r="UA18" i="56"/>
  <c r="TZ18" i="56"/>
  <c r="TY18" i="56"/>
  <c r="TX18" i="56"/>
  <c r="TW18" i="56"/>
  <c r="TV18" i="56"/>
  <c r="TU18" i="56"/>
  <c r="TT18" i="56"/>
  <c r="TS18" i="56"/>
  <c r="TR18" i="56"/>
  <c r="TQ18" i="56"/>
  <c r="TP18" i="56"/>
  <c r="TO18" i="56"/>
  <c r="TN18" i="56"/>
  <c r="TM18" i="56"/>
  <c r="TL18" i="56"/>
  <c r="TK18" i="56"/>
  <c r="TJ18" i="56"/>
  <c r="TI18" i="56"/>
  <c r="TH18" i="56"/>
  <c r="TG18" i="56"/>
  <c r="TF18" i="56"/>
  <c r="TE18" i="56"/>
  <c r="TD18" i="56"/>
  <c r="TC18" i="56"/>
  <c r="TB18" i="56"/>
  <c r="TA18" i="56"/>
  <c r="SZ18" i="56"/>
  <c r="SY18" i="56"/>
  <c r="SX18" i="56"/>
  <c r="SW18" i="56"/>
  <c r="SV18" i="56"/>
  <c r="SU18" i="56"/>
  <c r="ST18" i="56"/>
  <c r="SS18" i="56"/>
  <c r="SR18" i="56"/>
  <c r="SQ18" i="56"/>
  <c r="SP18" i="56"/>
  <c r="SO18" i="56"/>
  <c r="SN18" i="56"/>
  <c r="SM18" i="56"/>
  <c r="SL18" i="56"/>
  <c r="SK18" i="56"/>
  <c r="SJ18" i="56"/>
  <c r="SI18" i="56"/>
  <c r="SH18" i="56"/>
  <c r="SG18" i="56"/>
  <c r="SF18" i="56"/>
  <c r="SE18" i="56"/>
  <c r="SD18" i="56"/>
  <c r="SC18" i="56"/>
  <c r="SB18" i="56"/>
  <c r="SA18" i="56"/>
  <c r="RZ18" i="56"/>
  <c r="RY18" i="56"/>
  <c r="RX18" i="56"/>
  <c r="RW18" i="56"/>
  <c r="RV18" i="56"/>
  <c r="RU18" i="56"/>
  <c r="RT18" i="56"/>
  <c r="RS18" i="56"/>
  <c r="RR18" i="56"/>
  <c r="RQ18" i="56"/>
  <c r="RP18" i="56"/>
  <c r="RO18" i="56"/>
  <c r="RN18" i="56"/>
  <c r="RM18" i="56"/>
  <c r="RL18" i="56"/>
  <c r="RK18" i="56"/>
  <c r="RJ18" i="56"/>
  <c r="RI18" i="56"/>
  <c r="RH18" i="56"/>
  <c r="RG18" i="56"/>
  <c r="RF18" i="56"/>
  <c r="RE18" i="56"/>
  <c r="RD18" i="56"/>
  <c r="RC18" i="56"/>
  <c r="RB18" i="56"/>
  <c r="RA18" i="56"/>
  <c r="QZ18" i="56"/>
  <c r="QY18" i="56"/>
  <c r="QX18" i="56"/>
  <c r="QW18" i="56"/>
  <c r="QV18" i="56"/>
  <c r="QU18" i="56"/>
  <c r="QT18" i="56"/>
  <c r="QS18" i="56"/>
  <c r="QR18" i="56"/>
  <c r="QQ18" i="56"/>
  <c r="QP18" i="56"/>
  <c r="QO18" i="56"/>
  <c r="QN18" i="56"/>
  <c r="QM18" i="56"/>
  <c r="QL18" i="56"/>
  <c r="QK18" i="56"/>
  <c r="QJ18" i="56"/>
  <c r="QI18" i="56"/>
  <c r="QH18" i="56"/>
  <c r="QG18" i="56"/>
  <c r="QF18" i="56"/>
  <c r="QE18" i="56"/>
  <c r="QD18" i="56"/>
  <c r="QC18" i="56"/>
  <c r="QB18" i="56"/>
  <c r="QA18" i="56"/>
  <c r="PZ18" i="56"/>
  <c r="PY18" i="56"/>
  <c r="PX18" i="56"/>
  <c r="PW18" i="56"/>
  <c r="PV18" i="56"/>
  <c r="PU18" i="56"/>
  <c r="PT18" i="56"/>
  <c r="PS18" i="56"/>
  <c r="PR18" i="56"/>
  <c r="PQ18" i="56"/>
  <c r="PP18" i="56"/>
  <c r="PO18" i="56"/>
  <c r="PN18" i="56"/>
  <c r="PM18" i="56"/>
  <c r="PL18" i="56"/>
  <c r="PK18" i="56"/>
  <c r="PJ18" i="56"/>
  <c r="PI18" i="56"/>
  <c r="PH18" i="56"/>
  <c r="PG18" i="56"/>
  <c r="PF18" i="56"/>
  <c r="PE18" i="56"/>
  <c r="PD18" i="56"/>
  <c r="PC18" i="56"/>
  <c r="PB18" i="56"/>
  <c r="PA18" i="56"/>
  <c r="OZ18" i="56"/>
  <c r="OY18" i="56"/>
  <c r="OX18" i="56"/>
  <c r="OW18" i="56"/>
  <c r="OV18" i="56"/>
  <c r="OU18" i="56"/>
  <c r="OT18" i="56"/>
  <c r="OS18" i="56"/>
  <c r="OR18" i="56"/>
  <c r="OQ18" i="56"/>
  <c r="OP18" i="56"/>
  <c r="OO18" i="56"/>
  <c r="ON18" i="56"/>
  <c r="OM18" i="56"/>
  <c r="OL18" i="56"/>
  <c r="OK18" i="56"/>
  <c r="OJ18" i="56"/>
  <c r="OI18" i="56"/>
  <c r="OH18" i="56"/>
  <c r="OG18" i="56"/>
  <c r="OF18" i="56"/>
  <c r="OE18" i="56"/>
  <c r="OD18" i="56"/>
  <c r="OC18" i="56"/>
  <c r="OB18" i="56"/>
  <c r="OA18" i="56"/>
  <c r="NZ18" i="56"/>
  <c r="NY18" i="56"/>
  <c r="NX18" i="56"/>
  <c r="NW18" i="56"/>
  <c r="NV18" i="56"/>
  <c r="NU18" i="56"/>
  <c r="NT18" i="56"/>
  <c r="NS18" i="56"/>
  <c r="NR18" i="56"/>
  <c r="NQ18" i="56"/>
  <c r="NP18" i="56"/>
  <c r="NO18" i="56"/>
  <c r="NN18" i="56"/>
  <c r="NM18" i="56"/>
  <c r="NL18" i="56"/>
  <c r="NK18" i="56"/>
  <c r="NJ18" i="56"/>
  <c r="NI18" i="56"/>
  <c r="NH18" i="56"/>
  <c r="NG18" i="56"/>
  <c r="NF18" i="56"/>
  <c r="NE18" i="56"/>
  <c r="ND18" i="56"/>
  <c r="NC18" i="56"/>
  <c r="NB18" i="56"/>
  <c r="NA18" i="56"/>
  <c r="MZ18" i="56"/>
  <c r="MY18" i="56"/>
  <c r="MX18" i="56"/>
  <c r="MW18" i="56"/>
  <c r="MV18" i="56"/>
  <c r="MU18" i="56"/>
  <c r="MT18" i="56"/>
  <c r="MS18" i="56"/>
  <c r="MR18" i="56"/>
  <c r="MQ18" i="56"/>
  <c r="MP18" i="56"/>
  <c r="MO18" i="56"/>
  <c r="MN18" i="56"/>
  <c r="MM18" i="56"/>
  <c r="ML18" i="56"/>
  <c r="MK18" i="56"/>
  <c r="MJ18" i="56"/>
  <c r="MI18" i="56"/>
  <c r="MH18" i="56"/>
  <c r="MG18" i="56"/>
  <c r="MF18" i="56"/>
  <c r="ME18" i="56"/>
  <c r="MD18" i="56"/>
  <c r="MC18" i="56"/>
  <c r="MB18" i="56"/>
  <c r="MA18" i="56"/>
  <c r="LZ18" i="56"/>
  <c r="LY18" i="56"/>
  <c r="LX18" i="56"/>
  <c r="LW18" i="56"/>
  <c r="LV18" i="56"/>
  <c r="LU18" i="56"/>
  <c r="LT18" i="56"/>
  <c r="LS18" i="56"/>
  <c r="LR18" i="56"/>
  <c r="LQ18" i="56"/>
  <c r="LP18" i="56"/>
  <c r="LO18" i="56"/>
  <c r="LN18" i="56"/>
  <c r="LM18" i="56"/>
  <c r="LL18" i="56"/>
  <c r="LK18" i="56"/>
  <c r="LJ18" i="56"/>
  <c r="LI18" i="56"/>
  <c r="LH18" i="56"/>
  <c r="LG18" i="56"/>
  <c r="LF18" i="56"/>
  <c r="LE18" i="56"/>
  <c r="LD18" i="56"/>
  <c r="LC18" i="56"/>
  <c r="LB18" i="56"/>
  <c r="LA18" i="56"/>
  <c r="KZ18" i="56"/>
  <c r="KY18" i="56"/>
  <c r="KX18" i="56"/>
  <c r="KW18" i="56"/>
  <c r="KV18" i="56"/>
  <c r="KU18" i="56"/>
  <c r="KT18" i="56"/>
  <c r="KS18" i="56"/>
  <c r="KR18" i="56"/>
  <c r="KQ18" i="56"/>
  <c r="KP18" i="56"/>
  <c r="KO18" i="56"/>
  <c r="KN18" i="56"/>
  <c r="KM18" i="56"/>
  <c r="KL18" i="56"/>
  <c r="KK18" i="56"/>
  <c r="KJ18" i="56"/>
  <c r="KI18" i="56"/>
  <c r="KH18" i="56"/>
  <c r="KG18" i="56"/>
  <c r="KF18" i="56"/>
  <c r="KE18" i="56"/>
  <c r="KD18" i="56"/>
  <c r="KC18" i="56"/>
  <c r="KB18" i="56"/>
  <c r="KA18" i="56"/>
  <c r="JZ18" i="56"/>
  <c r="JY18" i="56"/>
  <c r="JX18" i="56"/>
  <c r="JW18" i="56"/>
  <c r="JV18" i="56"/>
  <c r="JU18" i="56"/>
  <c r="JT18" i="56"/>
  <c r="JS18" i="56"/>
  <c r="JR18" i="56"/>
  <c r="JQ18" i="56"/>
  <c r="JP18" i="56"/>
  <c r="JO18" i="56"/>
  <c r="JN18" i="56"/>
  <c r="JM18" i="56"/>
  <c r="JL18" i="56"/>
  <c r="JK18" i="56"/>
  <c r="JJ18" i="56"/>
  <c r="JI18" i="56"/>
  <c r="JH18" i="56"/>
  <c r="JG18" i="56"/>
  <c r="JF18" i="56"/>
  <c r="JE18" i="56"/>
  <c r="JD18" i="56"/>
  <c r="JC18" i="56"/>
  <c r="JB18" i="56"/>
  <c r="JA18" i="56"/>
  <c r="IZ18" i="56"/>
  <c r="IY18" i="56"/>
  <c r="IX18" i="56"/>
  <c r="IW18" i="56"/>
  <c r="IV18" i="56"/>
  <c r="IU18" i="56"/>
  <c r="IT18" i="56"/>
  <c r="IS18" i="56"/>
  <c r="IR18" i="56"/>
  <c r="IQ18" i="56"/>
  <c r="IP18" i="56"/>
  <c r="IO18" i="56"/>
  <c r="IN18" i="56"/>
  <c r="IM18" i="56"/>
  <c r="IL18" i="56"/>
  <c r="IK18" i="56"/>
  <c r="IJ18" i="56"/>
  <c r="II18" i="56"/>
  <c r="IH18" i="56"/>
  <c r="IG18" i="56"/>
  <c r="IF18" i="56"/>
  <c r="IE18" i="56"/>
  <c r="ID18" i="56"/>
  <c r="IC18" i="56"/>
  <c r="IB18" i="56"/>
  <c r="IA18" i="56"/>
  <c r="HZ18" i="56"/>
  <c r="HY18" i="56"/>
  <c r="HX18" i="56"/>
  <c r="HW18" i="56"/>
  <c r="HV18" i="56"/>
  <c r="HU18" i="56"/>
  <c r="HT18" i="56"/>
  <c r="HS18" i="56"/>
  <c r="HR18" i="56"/>
  <c r="HQ18" i="56"/>
  <c r="HP18" i="56"/>
  <c r="HO18" i="56"/>
  <c r="HN18" i="56"/>
  <c r="HM18" i="56"/>
  <c r="HL18" i="56"/>
  <c r="HK18" i="56"/>
  <c r="HJ18" i="56"/>
  <c r="HI18" i="56"/>
  <c r="HH18" i="56"/>
  <c r="HG18" i="56"/>
  <c r="HF18" i="56"/>
  <c r="HE18" i="56"/>
  <c r="HD18" i="56"/>
  <c r="HC18" i="56"/>
  <c r="HB18" i="56"/>
  <c r="HA18" i="56"/>
  <c r="GZ18" i="56"/>
  <c r="GY18" i="56"/>
  <c r="GX18" i="56"/>
  <c r="GW18" i="56"/>
  <c r="GV18" i="56"/>
  <c r="GU18" i="56"/>
  <c r="GT18" i="56"/>
  <c r="GS18" i="56"/>
  <c r="GR18" i="56"/>
  <c r="GQ18" i="56"/>
  <c r="GP18" i="56"/>
  <c r="GO18" i="56"/>
  <c r="GN18" i="56"/>
  <c r="GM18" i="56"/>
  <c r="GL18" i="56"/>
  <c r="GK18" i="56"/>
  <c r="GJ18" i="56"/>
  <c r="GI18" i="56"/>
  <c r="GH18" i="56"/>
  <c r="GG18" i="56"/>
  <c r="GF18" i="56"/>
  <c r="GE18" i="56"/>
  <c r="GD18" i="56"/>
  <c r="GC18" i="56"/>
  <c r="GB18" i="56"/>
  <c r="GA18" i="56"/>
  <c r="FZ18" i="56"/>
  <c r="FY18" i="56"/>
  <c r="FX18" i="56"/>
  <c r="FW18" i="56"/>
  <c r="FV18" i="56"/>
  <c r="FU18" i="56"/>
  <c r="FT18" i="56"/>
  <c r="FS18" i="56"/>
  <c r="FR18" i="56"/>
  <c r="FQ18" i="56"/>
  <c r="FP18" i="56"/>
  <c r="FO18" i="56"/>
  <c r="FN18" i="56"/>
  <c r="FM18" i="56"/>
  <c r="FL18" i="56"/>
  <c r="FK18" i="56"/>
  <c r="FJ18" i="56"/>
  <c r="FI18" i="56"/>
  <c r="FH18" i="56"/>
  <c r="FG18" i="56"/>
  <c r="FF18" i="56"/>
  <c r="FE18" i="56"/>
  <c r="FD18" i="56"/>
  <c r="FC18" i="56"/>
  <c r="FB18" i="56"/>
  <c r="FA18" i="56"/>
  <c r="EZ18" i="56"/>
  <c r="EY18" i="56"/>
  <c r="EX18" i="56"/>
  <c r="EW18" i="56"/>
  <c r="EV18" i="56"/>
  <c r="EU18" i="56"/>
  <c r="ET18" i="56"/>
  <c r="ES18" i="56"/>
  <c r="ER18" i="56"/>
  <c r="EQ18" i="56"/>
  <c r="EP18" i="56"/>
  <c r="EO18" i="56"/>
  <c r="EN18" i="56"/>
  <c r="EM18" i="56"/>
  <c r="EL18" i="56"/>
  <c r="EK18" i="56"/>
  <c r="EJ18" i="56"/>
  <c r="EI18" i="56"/>
  <c r="EH18" i="56"/>
  <c r="EG18" i="56"/>
  <c r="EF18" i="56"/>
  <c r="EE18" i="56"/>
  <c r="ED18" i="56"/>
  <c r="EC18" i="56"/>
  <c r="EB18" i="56"/>
  <c r="EA18" i="56"/>
  <c r="DZ18" i="56"/>
  <c r="DY18" i="56"/>
  <c r="DX18" i="56"/>
  <c r="DW18" i="56"/>
  <c r="DV18" i="56"/>
  <c r="DU18" i="56"/>
  <c r="DT18" i="56"/>
  <c r="DS18" i="56"/>
  <c r="DR18" i="56"/>
  <c r="DQ18" i="56"/>
  <c r="DP18" i="56"/>
  <c r="DO18" i="56"/>
  <c r="DN18" i="56"/>
  <c r="DM18" i="56"/>
  <c r="DL18" i="56"/>
  <c r="DK18" i="56"/>
  <c r="DJ18" i="56"/>
  <c r="DI18" i="56"/>
  <c r="DH18" i="56"/>
  <c r="DG18" i="56"/>
  <c r="DF18" i="56"/>
  <c r="DE18" i="56"/>
  <c r="DD18" i="56"/>
  <c r="DC18" i="56"/>
  <c r="DB18" i="56"/>
  <c r="DA18" i="56"/>
  <c r="CZ18" i="56"/>
  <c r="CY18" i="56"/>
  <c r="CX18" i="56"/>
  <c r="CW18" i="56"/>
  <c r="CV18" i="56"/>
  <c r="CU18" i="56"/>
  <c r="CT18" i="56"/>
  <c r="CS18" i="56"/>
  <c r="CR18" i="56"/>
  <c r="CQ18" i="56"/>
  <c r="CP18" i="56"/>
  <c r="CO18" i="56"/>
  <c r="CN18" i="56"/>
  <c r="CM18" i="56"/>
  <c r="CL18" i="56"/>
  <c r="CK18" i="56"/>
  <c r="CJ18" i="56"/>
  <c r="CI18" i="56"/>
  <c r="CH18" i="56"/>
  <c r="CG18" i="56"/>
  <c r="CF18" i="56"/>
  <c r="CE18" i="56"/>
  <c r="CD18" i="56"/>
  <c r="CC18" i="56"/>
  <c r="CB18" i="56"/>
  <c r="CA18" i="56"/>
  <c r="BZ18" i="56"/>
  <c r="BY18" i="56"/>
  <c r="BX18" i="56"/>
  <c r="BW18" i="56"/>
  <c r="BV18" i="56"/>
  <c r="BU18" i="56"/>
  <c r="BT18" i="56"/>
  <c r="BS18" i="56"/>
  <c r="BR18" i="56"/>
  <c r="BQ18" i="56"/>
  <c r="BP18" i="56"/>
  <c r="BO18" i="56"/>
  <c r="BN18" i="56"/>
  <c r="BM18" i="56"/>
  <c r="BL18" i="56"/>
  <c r="BK18" i="56"/>
  <c r="BJ18" i="56"/>
  <c r="BI18" i="56"/>
  <c r="BH18" i="56"/>
  <c r="BG18" i="56"/>
  <c r="BF18" i="56"/>
  <c r="BE18" i="56"/>
  <c r="BD18" i="56"/>
  <c r="BC18" i="56"/>
  <c r="BB18" i="56"/>
  <c r="BA18" i="56"/>
  <c r="AZ18" i="56"/>
  <c r="AY18" i="56"/>
  <c r="AX18" i="56"/>
  <c r="AW18" i="56"/>
  <c r="AV18" i="56"/>
  <c r="AU18" i="56"/>
  <c r="AT18" i="56"/>
  <c r="AS18" i="56"/>
  <c r="AR18" i="56"/>
  <c r="AQ18" i="56"/>
  <c r="AP18" i="56"/>
  <c r="AO18" i="56"/>
  <c r="AN18" i="56"/>
  <c r="AM18" i="56"/>
  <c r="AL18" i="56"/>
  <c r="AK18" i="56"/>
  <c r="AJ18" i="56"/>
  <c r="UM17" i="56"/>
  <c r="UL17" i="56"/>
  <c r="UK17" i="56"/>
  <c r="UJ17" i="56"/>
  <c r="UI17" i="56"/>
  <c r="UH17" i="56"/>
  <c r="UG17" i="56"/>
  <c r="UF17" i="56"/>
  <c r="UE17" i="56"/>
  <c r="UD17" i="56"/>
  <c r="UC17" i="56"/>
  <c r="UB17" i="56"/>
  <c r="UA17" i="56"/>
  <c r="TZ17" i="56"/>
  <c r="TY17" i="56"/>
  <c r="TX17" i="56"/>
  <c r="TW17" i="56"/>
  <c r="TV17" i="56"/>
  <c r="TU17" i="56"/>
  <c r="TT17" i="56"/>
  <c r="TS17" i="56"/>
  <c r="TR17" i="56"/>
  <c r="TQ17" i="56"/>
  <c r="TP17" i="56"/>
  <c r="TO17" i="56"/>
  <c r="TN17" i="56"/>
  <c r="TM17" i="56"/>
  <c r="TL17" i="56"/>
  <c r="TK17" i="56"/>
  <c r="TJ17" i="56"/>
  <c r="TI17" i="56"/>
  <c r="TH17" i="56"/>
  <c r="TG17" i="56"/>
  <c r="TF17" i="56"/>
  <c r="TE17" i="56"/>
  <c r="TD17" i="56"/>
  <c r="TC17" i="56"/>
  <c r="TB17" i="56"/>
  <c r="TA17" i="56"/>
  <c r="SZ17" i="56"/>
  <c r="SY17" i="56"/>
  <c r="SX17" i="56"/>
  <c r="SW17" i="56"/>
  <c r="SV17" i="56"/>
  <c r="SU17" i="56"/>
  <c r="ST17" i="56"/>
  <c r="SS17" i="56"/>
  <c r="SR17" i="56"/>
  <c r="SQ17" i="56"/>
  <c r="SP17" i="56"/>
  <c r="SO17" i="56"/>
  <c r="SN17" i="56"/>
  <c r="SM17" i="56"/>
  <c r="SL17" i="56"/>
  <c r="SK17" i="56"/>
  <c r="SJ17" i="56"/>
  <c r="SI17" i="56"/>
  <c r="SH17" i="56"/>
  <c r="SG17" i="56"/>
  <c r="SF17" i="56"/>
  <c r="SE17" i="56"/>
  <c r="SD17" i="56"/>
  <c r="SC17" i="56"/>
  <c r="SB17" i="56"/>
  <c r="SA17" i="56"/>
  <c r="RZ17" i="56"/>
  <c r="RY17" i="56"/>
  <c r="RX17" i="56"/>
  <c r="RW17" i="56"/>
  <c r="RV17" i="56"/>
  <c r="RU17" i="56"/>
  <c r="RT17" i="56"/>
  <c r="RS17" i="56"/>
  <c r="RR17" i="56"/>
  <c r="RQ17" i="56"/>
  <c r="RP17" i="56"/>
  <c r="RO17" i="56"/>
  <c r="RN17" i="56"/>
  <c r="RM17" i="56"/>
  <c r="RL17" i="56"/>
  <c r="RK17" i="56"/>
  <c r="RJ17" i="56"/>
  <c r="RI17" i="56"/>
  <c r="RH17" i="56"/>
  <c r="RG17" i="56"/>
  <c r="RF17" i="56"/>
  <c r="RE17" i="56"/>
  <c r="RD17" i="56"/>
  <c r="RC17" i="56"/>
  <c r="RB17" i="56"/>
  <c r="RA17" i="56"/>
  <c r="QZ17" i="56"/>
  <c r="QY17" i="56"/>
  <c r="QX17" i="56"/>
  <c r="QW17" i="56"/>
  <c r="QV17" i="56"/>
  <c r="QU17" i="56"/>
  <c r="QT17" i="56"/>
  <c r="QS17" i="56"/>
  <c r="QR17" i="56"/>
  <c r="QQ17" i="56"/>
  <c r="QP17" i="56"/>
  <c r="QO17" i="56"/>
  <c r="QN17" i="56"/>
  <c r="QM17" i="56"/>
  <c r="QL17" i="56"/>
  <c r="QK17" i="56"/>
  <c r="QJ17" i="56"/>
  <c r="QI17" i="56"/>
  <c r="QH17" i="56"/>
  <c r="QG17" i="56"/>
  <c r="QF17" i="56"/>
  <c r="QE17" i="56"/>
  <c r="QD17" i="56"/>
  <c r="QC17" i="56"/>
  <c r="QB17" i="56"/>
  <c r="QA17" i="56"/>
  <c r="PZ17" i="56"/>
  <c r="PY17" i="56"/>
  <c r="PX17" i="56"/>
  <c r="PW17" i="56"/>
  <c r="PV17" i="56"/>
  <c r="PU17" i="56"/>
  <c r="PT17" i="56"/>
  <c r="PS17" i="56"/>
  <c r="PR17" i="56"/>
  <c r="PQ17" i="56"/>
  <c r="PP17" i="56"/>
  <c r="PO17" i="56"/>
  <c r="PN17" i="56"/>
  <c r="PM17" i="56"/>
  <c r="PL17" i="56"/>
  <c r="PK17" i="56"/>
  <c r="PJ17" i="56"/>
  <c r="PI17" i="56"/>
  <c r="PH17" i="56"/>
  <c r="PG17" i="56"/>
  <c r="PF17" i="56"/>
  <c r="PE17" i="56"/>
  <c r="PD17" i="56"/>
  <c r="PC17" i="56"/>
  <c r="PB17" i="56"/>
  <c r="PA17" i="56"/>
  <c r="OZ17" i="56"/>
  <c r="OY17" i="56"/>
  <c r="OX17" i="56"/>
  <c r="OW17" i="56"/>
  <c r="OV17" i="56"/>
  <c r="OU17" i="56"/>
  <c r="OT17" i="56"/>
  <c r="OS17" i="56"/>
  <c r="OR17" i="56"/>
  <c r="OQ17" i="56"/>
  <c r="OP17" i="56"/>
  <c r="OO17" i="56"/>
  <c r="ON17" i="56"/>
  <c r="OM17" i="56"/>
  <c r="OL17" i="56"/>
  <c r="OK17" i="56"/>
  <c r="OJ17" i="56"/>
  <c r="OI17" i="56"/>
  <c r="OH17" i="56"/>
  <c r="OG17" i="56"/>
  <c r="OF17" i="56"/>
  <c r="OE17" i="56"/>
  <c r="OD17" i="56"/>
  <c r="OC17" i="56"/>
  <c r="OB17" i="56"/>
  <c r="OA17" i="56"/>
  <c r="NZ17" i="56"/>
  <c r="NY17" i="56"/>
  <c r="NX17" i="56"/>
  <c r="NW17" i="56"/>
  <c r="NV17" i="56"/>
  <c r="NU17" i="56"/>
  <c r="NT17" i="56"/>
  <c r="NS17" i="56"/>
  <c r="NR17" i="56"/>
  <c r="NQ17" i="56"/>
  <c r="NP17" i="56"/>
  <c r="NO17" i="56"/>
  <c r="NN17" i="56"/>
  <c r="NM17" i="56"/>
  <c r="NL17" i="56"/>
  <c r="NK17" i="56"/>
  <c r="NJ17" i="56"/>
  <c r="NI17" i="56"/>
  <c r="NH17" i="56"/>
  <c r="NG17" i="56"/>
  <c r="NF17" i="56"/>
  <c r="NE17" i="56"/>
  <c r="ND17" i="56"/>
  <c r="NC17" i="56"/>
  <c r="NB17" i="56"/>
  <c r="NA17" i="56"/>
  <c r="MZ17" i="56"/>
  <c r="MY17" i="56"/>
  <c r="MX17" i="56"/>
  <c r="MW17" i="56"/>
  <c r="MV17" i="56"/>
  <c r="MU17" i="56"/>
  <c r="MT17" i="56"/>
  <c r="MS17" i="56"/>
  <c r="MR17" i="56"/>
  <c r="MQ17" i="56"/>
  <c r="MP17" i="56"/>
  <c r="MO17" i="56"/>
  <c r="MN17" i="56"/>
  <c r="MM17" i="56"/>
  <c r="ML17" i="56"/>
  <c r="MK17" i="56"/>
  <c r="MJ17" i="56"/>
  <c r="MI17" i="56"/>
  <c r="MH17" i="56"/>
  <c r="MG17" i="56"/>
  <c r="MF17" i="56"/>
  <c r="ME17" i="56"/>
  <c r="MD17" i="56"/>
  <c r="MC17" i="56"/>
  <c r="MB17" i="56"/>
  <c r="MA17" i="56"/>
  <c r="LZ17" i="56"/>
  <c r="LY17" i="56"/>
  <c r="LX17" i="56"/>
  <c r="LW17" i="56"/>
  <c r="LV17" i="56"/>
  <c r="LU17" i="56"/>
  <c r="LT17" i="56"/>
  <c r="LS17" i="56"/>
  <c r="LR17" i="56"/>
  <c r="LQ17" i="56"/>
  <c r="LP17" i="56"/>
  <c r="LO17" i="56"/>
  <c r="LN17" i="56"/>
  <c r="LM17" i="56"/>
  <c r="LL17" i="56"/>
  <c r="LK17" i="56"/>
  <c r="LJ17" i="56"/>
  <c r="LI17" i="56"/>
  <c r="LH17" i="56"/>
  <c r="LG17" i="56"/>
  <c r="LF17" i="56"/>
  <c r="LE17" i="56"/>
  <c r="LD17" i="56"/>
  <c r="LC17" i="56"/>
  <c r="LB17" i="56"/>
  <c r="LA17" i="56"/>
  <c r="KZ17" i="56"/>
  <c r="KY17" i="56"/>
  <c r="KX17" i="56"/>
  <c r="KW17" i="56"/>
  <c r="KV17" i="56"/>
  <c r="KU17" i="56"/>
  <c r="KT17" i="56"/>
  <c r="KS17" i="56"/>
  <c r="KR17" i="56"/>
  <c r="KQ17" i="56"/>
  <c r="KP17" i="56"/>
  <c r="KO17" i="56"/>
  <c r="KN17" i="56"/>
  <c r="KM17" i="56"/>
  <c r="KL17" i="56"/>
  <c r="KK17" i="56"/>
  <c r="KJ17" i="56"/>
  <c r="KI17" i="56"/>
  <c r="KH17" i="56"/>
  <c r="KG17" i="56"/>
  <c r="KF17" i="56"/>
  <c r="KE17" i="56"/>
  <c r="KD17" i="56"/>
  <c r="KC17" i="56"/>
  <c r="KB17" i="56"/>
  <c r="KA17" i="56"/>
  <c r="JZ17" i="56"/>
  <c r="JY17" i="56"/>
  <c r="JX17" i="56"/>
  <c r="JW17" i="56"/>
  <c r="JV17" i="56"/>
  <c r="JU17" i="56"/>
  <c r="JT17" i="56"/>
  <c r="JS17" i="56"/>
  <c r="JR17" i="56"/>
  <c r="JQ17" i="56"/>
  <c r="JP17" i="56"/>
  <c r="JO17" i="56"/>
  <c r="JN17" i="56"/>
  <c r="JM17" i="56"/>
  <c r="JL17" i="56"/>
  <c r="JK17" i="56"/>
  <c r="JJ17" i="56"/>
  <c r="JI17" i="56"/>
  <c r="JH17" i="56"/>
  <c r="JG17" i="56"/>
  <c r="JF17" i="56"/>
  <c r="JE17" i="56"/>
  <c r="JD17" i="56"/>
  <c r="JC17" i="56"/>
  <c r="JB17" i="56"/>
  <c r="JA17" i="56"/>
  <c r="IZ17" i="56"/>
  <c r="IY17" i="56"/>
  <c r="IX17" i="56"/>
  <c r="IW17" i="56"/>
  <c r="IV17" i="56"/>
  <c r="IU17" i="56"/>
  <c r="IT17" i="56"/>
  <c r="IS17" i="56"/>
  <c r="IR17" i="56"/>
  <c r="IQ17" i="56"/>
  <c r="IP17" i="56"/>
  <c r="IO17" i="56"/>
  <c r="IN17" i="56"/>
  <c r="IM17" i="56"/>
  <c r="IL17" i="56"/>
  <c r="IK17" i="56"/>
  <c r="IJ17" i="56"/>
  <c r="II17" i="56"/>
  <c r="IH17" i="56"/>
  <c r="IG17" i="56"/>
  <c r="IF17" i="56"/>
  <c r="IE17" i="56"/>
  <c r="ID17" i="56"/>
  <c r="IC17" i="56"/>
  <c r="IB17" i="56"/>
  <c r="IA17" i="56"/>
  <c r="HZ17" i="56"/>
  <c r="HY17" i="56"/>
  <c r="HX17" i="56"/>
  <c r="HW17" i="56"/>
  <c r="HV17" i="56"/>
  <c r="HU17" i="56"/>
  <c r="HT17" i="56"/>
  <c r="HS17" i="56"/>
  <c r="HR17" i="56"/>
  <c r="HQ17" i="56"/>
  <c r="HP17" i="56"/>
  <c r="HO17" i="56"/>
  <c r="HN17" i="56"/>
  <c r="HM17" i="56"/>
  <c r="HL17" i="56"/>
  <c r="HK17" i="56"/>
  <c r="HJ17" i="56"/>
  <c r="HI17" i="56"/>
  <c r="HH17" i="56"/>
  <c r="HG17" i="56"/>
  <c r="HF17" i="56"/>
  <c r="HE17" i="56"/>
  <c r="HD17" i="56"/>
  <c r="HC17" i="56"/>
  <c r="HB17" i="56"/>
  <c r="HA17" i="56"/>
  <c r="GZ17" i="56"/>
  <c r="GY17" i="56"/>
  <c r="GX17" i="56"/>
  <c r="GW17" i="56"/>
  <c r="GV17" i="56"/>
  <c r="GU17" i="56"/>
  <c r="GT17" i="56"/>
  <c r="GS17" i="56"/>
  <c r="GR17" i="56"/>
  <c r="GQ17" i="56"/>
  <c r="GP17" i="56"/>
  <c r="GO17" i="56"/>
  <c r="GN17" i="56"/>
  <c r="GM17" i="56"/>
  <c r="GL17" i="56"/>
  <c r="GK17" i="56"/>
  <c r="GJ17" i="56"/>
  <c r="GI17" i="56"/>
  <c r="GH17" i="56"/>
  <c r="GG17" i="56"/>
  <c r="GF17" i="56"/>
  <c r="GE17" i="56"/>
  <c r="GD17" i="56"/>
  <c r="GC17" i="56"/>
  <c r="GB17" i="56"/>
  <c r="GA17" i="56"/>
  <c r="FZ17" i="56"/>
  <c r="FY17" i="56"/>
  <c r="FX17" i="56"/>
  <c r="FW17" i="56"/>
  <c r="FV17" i="56"/>
  <c r="FU17" i="56"/>
  <c r="FT17" i="56"/>
  <c r="FS17" i="56"/>
  <c r="FR17" i="56"/>
  <c r="FQ17" i="56"/>
  <c r="FP17" i="56"/>
  <c r="FO17" i="56"/>
  <c r="FN17" i="56"/>
  <c r="FM17" i="56"/>
  <c r="FL17" i="56"/>
  <c r="FK17" i="56"/>
  <c r="FJ17" i="56"/>
  <c r="FI17" i="56"/>
  <c r="FH17" i="56"/>
  <c r="FG17" i="56"/>
  <c r="FF17" i="56"/>
  <c r="FE17" i="56"/>
  <c r="FD17" i="56"/>
  <c r="FC17" i="56"/>
  <c r="FB17" i="56"/>
  <c r="FA17" i="56"/>
  <c r="EZ17" i="56"/>
  <c r="EY17" i="56"/>
  <c r="EX17" i="56"/>
  <c r="EW17" i="56"/>
  <c r="EV17" i="56"/>
  <c r="EU17" i="56"/>
  <c r="ET17" i="56"/>
  <c r="ES17" i="56"/>
  <c r="ER17" i="56"/>
  <c r="EQ17" i="56"/>
  <c r="EP17" i="56"/>
  <c r="EO17" i="56"/>
  <c r="EN17" i="56"/>
  <c r="EM17" i="56"/>
  <c r="EL17" i="56"/>
  <c r="EK17" i="56"/>
  <c r="EJ17" i="56"/>
  <c r="EI17" i="56"/>
  <c r="EH17" i="56"/>
  <c r="EG17" i="56"/>
  <c r="EF17" i="56"/>
  <c r="EE17" i="56"/>
  <c r="ED17" i="56"/>
  <c r="EC17" i="56"/>
  <c r="EB17" i="56"/>
  <c r="EA17" i="56"/>
  <c r="DZ17" i="56"/>
  <c r="DY17" i="56"/>
  <c r="DX17" i="56"/>
  <c r="DW17" i="56"/>
  <c r="DV17" i="56"/>
  <c r="DU17" i="56"/>
  <c r="DT17" i="56"/>
  <c r="DS17" i="56"/>
  <c r="DR17" i="56"/>
  <c r="DQ17" i="56"/>
  <c r="DP17" i="56"/>
  <c r="DO17" i="56"/>
  <c r="DN17" i="56"/>
  <c r="DM17" i="56"/>
  <c r="DL17" i="56"/>
  <c r="DK17" i="56"/>
  <c r="DJ17" i="56"/>
  <c r="DI17" i="56"/>
  <c r="DH17" i="56"/>
  <c r="DG17" i="56"/>
  <c r="DF17" i="56"/>
  <c r="DE17" i="56"/>
  <c r="DD17" i="56"/>
  <c r="DC17" i="56"/>
  <c r="DB17" i="56"/>
  <c r="DA17" i="56"/>
  <c r="CZ17" i="56"/>
  <c r="CY17" i="56"/>
  <c r="CX17" i="56"/>
  <c r="CW17" i="56"/>
  <c r="CV17" i="56"/>
  <c r="CU17" i="56"/>
  <c r="CT17" i="56"/>
  <c r="CS17" i="56"/>
  <c r="CR17" i="56"/>
  <c r="CQ17" i="56"/>
  <c r="CP17" i="56"/>
  <c r="CO17" i="56"/>
  <c r="CN17" i="56"/>
  <c r="CM17" i="56"/>
  <c r="CL17" i="56"/>
  <c r="CK17" i="56"/>
  <c r="CJ17" i="56"/>
  <c r="CI17" i="56"/>
  <c r="CH17" i="56"/>
  <c r="CG17" i="56"/>
  <c r="CF17" i="56"/>
  <c r="CE17" i="56"/>
  <c r="CD17" i="56"/>
  <c r="CC17" i="56"/>
  <c r="CB17" i="56"/>
  <c r="CA17" i="56"/>
  <c r="BZ17" i="56"/>
  <c r="BY17" i="56"/>
  <c r="BX17" i="56"/>
  <c r="BW17" i="56"/>
  <c r="BV17" i="56"/>
  <c r="BU17" i="56"/>
  <c r="BT17" i="56"/>
  <c r="BS17" i="56"/>
  <c r="BR17" i="56"/>
  <c r="BQ17" i="56"/>
  <c r="BP17" i="56"/>
  <c r="BO17" i="56"/>
  <c r="BN17" i="56"/>
  <c r="BM17" i="56"/>
  <c r="BL17" i="56"/>
  <c r="BK17" i="56"/>
  <c r="BJ17" i="56"/>
  <c r="BI17" i="56"/>
  <c r="BH17" i="56"/>
  <c r="BG17" i="56"/>
  <c r="BF17" i="56"/>
  <c r="BE17" i="56"/>
  <c r="BD17" i="56"/>
  <c r="BC17" i="56"/>
  <c r="BB17" i="56"/>
  <c r="BA17" i="56"/>
  <c r="AZ17" i="56"/>
  <c r="AY17" i="56"/>
  <c r="AX17" i="56"/>
  <c r="AW17" i="56"/>
  <c r="AV17" i="56"/>
  <c r="AU17" i="56"/>
  <c r="AT17" i="56"/>
  <c r="AS17" i="56"/>
  <c r="AR17" i="56"/>
  <c r="AQ17" i="56"/>
  <c r="AP17" i="56"/>
  <c r="AO17" i="56"/>
  <c r="AN17" i="56"/>
  <c r="AM17" i="56"/>
  <c r="AL17" i="56"/>
  <c r="AK17" i="56"/>
  <c r="AJ17" i="56"/>
  <c r="GM7" i="56"/>
  <c r="GV7" i="56"/>
  <c r="UM16" i="56"/>
  <c r="UL16" i="56"/>
  <c r="UK16" i="56"/>
  <c r="UJ16" i="56"/>
  <c r="UI16" i="56"/>
  <c r="UH16" i="56"/>
  <c r="UG16" i="56"/>
  <c r="UF16" i="56"/>
  <c r="UE16" i="56"/>
  <c r="UD16" i="56"/>
  <c r="UC16" i="56"/>
  <c r="UB16" i="56"/>
  <c r="UA16" i="56"/>
  <c r="TZ16" i="56"/>
  <c r="TY16" i="56"/>
  <c r="TX16" i="56"/>
  <c r="TW16" i="56"/>
  <c r="TV16" i="56"/>
  <c r="TU16" i="56"/>
  <c r="TT16" i="56"/>
  <c r="TS16" i="56"/>
  <c r="TR16" i="56"/>
  <c r="TQ16" i="56"/>
  <c r="TP16" i="56"/>
  <c r="TO16" i="56"/>
  <c r="TN16" i="56"/>
  <c r="TM16" i="56"/>
  <c r="TL16" i="56"/>
  <c r="TK16" i="56"/>
  <c r="TJ16" i="56"/>
  <c r="TI16" i="56"/>
  <c r="TH16" i="56"/>
  <c r="TG16" i="56"/>
  <c r="TF16" i="56"/>
  <c r="TE16" i="56"/>
  <c r="TD16" i="56"/>
  <c r="TC16" i="56"/>
  <c r="TB16" i="56"/>
  <c r="TA16" i="56"/>
  <c r="SZ16" i="56"/>
  <c r="SY16" i="56"/>
  <c r="SX16" i="56"/>
  <c r="SW16" i="56"/>
  <c r="SV16" i="56"/>
  <c r="SU16" i="56"/>
  <c r="ST16" i="56"/>
  <c r="SS16" i="56"/>
  <c r="SR16" i="56"/>
  <c r="SQ16" i="56"/>
  <c r="SP16" i="56"/>
  <c r="SO16" i="56"/>
  <c r="SN16" i="56"/>
  <c r="SM16" i="56"/>
  <c r="SL16" i="56"/>
  <c r="SK16" i="56"/>
  <c r="SJ16" i="56"/>
  <c r="SI16" i="56"/>
  <c r="SH16" i="56"/>
  <c r="SG16" i="56"/>
  <c r="SF16" i="56"/>
  <c r="SE16" i="56"/>
  <c r="SD16" i="56"/>
  <c r="SC16" i="56"/>
  <c r="SB16" i="56"/>
  <c r="SA16" i="56"/>
  <c r="RZ16" i="56"/>
  <c r="RY16" i="56"/>
  <c r="RX16" i="56"/>
  <c r="RW16" i="56"/>
  <c r="RV16" i="56"/>
  <c r="RU16" i="56"/>
  <c r="RT16" i="56"/>
  <c r="RS16" i="56"/>
  <c r="RR16" i="56"/>
  <c r="RQ16" i="56"/>
  <c r="RP16" i="56"/>
  <c r="RO16" i="56"/>
  <c r="RN16" i="56"/>
  <c r="RM16" i="56"/>
  <c r="RL16" i="56"/>
  <c r="RK16" i="56"/>
  <c r="RJ16" i="56"/>
  <c r="RI16" i="56"/>
  <c r="RH16" i="56"/>
  <c r="RG16" i="56"/>
  <c r="RF16" i="56"/>
  <c r="RE16" i="56"/>
  <c r="RD16" i="56"/>
  <c r="RC16" i="56"/>
  <c r="RB16" i="56"/>
  <c r="RA16" i="56"/>
  <c r="QZ16" i="56"/>
  <c r="QY16" i="56"/>
  <c r="QX16" i="56"/>
  <c r="QW16" i="56"/>
  <c r="QV16" i="56"/>
  <c r="QU16" i="56"/>
  <c r="QT16" i="56"/>
  <c r="QS16" i="56"/>
  <c r="QR16" i="56"/>
  <c r="QQ16" i="56"/>
  <c r="QP16" i="56"/>
  <c r="QO16" i="56"/>
  <c r="QN16" i="56"/>
  <c r="QM16" i="56"/>
  <c r="QL16" i="56"/>
  <c r="QK16" i="56"/>
  <c r="QJ16" i="56"/>
  <c r="QI16" i="56"/>
  <c r="QH16" i="56"/>
  <c r="QG16" i="56"/>
  <c r="QF16" i="56"/>
  <c r="QE16" i="56"/>
  <c r="QD16" i="56"/>
  <c r="QC16" i="56"/>
  <c r="QB16" i="56"/>
  <c r="QA16" i="56"/>
  <c r="PZ16" i="56"/>
  <c r="PY16" i="56"/>
  <c r="PX16" i="56"/>
  <c r="PW16" i="56"/>
  <c r="PV16" i="56"/>
  <c r="PU16" i="56"/>
  <c r="PT16" i="56"/>
  <c r="PS16" i="56"/>
  <c r="PR16" i="56"/>
  <c r="PQ16" i="56"/>
  <c r="PP16" i="56"/>
  <c r="PO16" i="56"/>
  <c r="PN16" i="56"/>
  <c r="PM16" i="56"/>
  <c r="PL16" i="56"/>
  <c r="PK16" i="56"/>
  <c r="PJ16" i="56"/>
  <c r="PI16" i="56"/>
  <c r="PH16" i="56"/>
  <c r="PG16" i="56"/>
  <c r="PF16" i="56"/>
  <c r="PE16" i="56"/>
  <c r="PD16" i="56"/>
  <c r="PC16" i="56"/>
  <c r="PB16" i="56"/>
  <c r="PA16" i="56"/>
  <c r="OZ16" i="56"/>
  <c r="OY16" i="56"/>
  <c r="OX16" i="56"/>
  <c r="OW16" i="56"/>
  <c r="OV16" i="56"/>
  <c r="OU16" i="56"/>
  <c r="OT16" i="56"/>
  <c r="OS16" i="56"/>
  <c r="OR16" i="56"/>
  <c r="OQ16" i="56"/>
  <c r="OP16" i="56"/>
  <c r="OO16" i="56"/>
  <c r="ON16" i="56"/>
  <c r="OM16" i="56"/>
  <c r="OL16" i="56"/>
  <c r="OK16" i="56"/>
  <c r="OJ16" i="56"/>
  <c r="OI16" i="56"/>
  <c r="OH16" i="56"/>
  <c r="OG16" i="56"/>
  <c r="OF16" i="56"/>
  <c r="OE16" i="56"/>
  <c r="OD16" i="56"/>
  <c r="OC16" i="56"/>
  <c r="OB16" i="56"/>
  <c r="OA16" i="56"/>
  <c r="NZ16" i="56"/>
  <c r="NY16" i="56"/>
  <c r="NX16" i="56"/>
  <c r="NW16" i="56"/>
  <c r="NV16" i="56"/>
  <c r="NU16" i="56"/>
  <c r="NT16" i="56"/>
  <c r="NS16" i="56"/>
  <c r="NR16" i="56"/>
  <c r="NQ16" i="56"/>
  <c r="NP16" i="56"/>
  <c r="NO16" i="56"/>
  <c r="NN16" i="56"/>
  <c r="NM16" i="56"/>
  <c r="NL16" i="56"/>
  <c r="NK16" i="56"/>
  <c r="NJ16" i="56"/>
  <c r="NI16" i="56"/>
  <c r="NH16" i="56"/>
  <c r="NG16" i="56"/>
  <c r="NF16" i="56"/>
  <c r="NE16" i="56"/>
  <c r="ND16" i="56"/>
  <c r="NC16" i="56"/>
  <c r="NB16" i="56"/>
  <c r="NA16" i="56"/>
  <c r="MZ16" i="56"/>
  <c r="MY16" i="56"/>
  <c r="MX16" i="56"/>
  <c r="MW16" i="56"/>
  <c r="MV16" i="56"/>
  <c r="MU16" i="56"/>
  <c r="MT16" i="56"/>
  <c r="MS16" i="56"/>
  <c r="MR16" i="56"/>
  <c r="MQ16" i="56"/>
  <c r="MP16" i="56"/>
  <c r="MO16" i="56"/>
  <c r="MN16" i="56"/>
  <c r="MM16" i="56"/>
  <c r="ML16" i="56"/>
  <c r="MK16" i="56"/>
  <c r="MJ16" i="56"/>
  <c r="MI16" i="56"/>
  <c r="MH16" i="56"/>
  <c r="MG16" i="56"/>
  <c r="MF16" i="56"/>
  <c r="ME16" i="56"/>
  <c r="MD16" i="56"/>
  <c r="MC16" i="56"/>
  <c r="MB16" i="56"/>
  <c r="MA16" i="56"/>
  <c r="LZ16" i="56"/>
  <c r="LY16" i="56"/>
  <c r="LX16" i="56"/>
  <c r="LW16" i="56"/>
  <c r="LV16" i="56"/>
  <c r="LU16" i="56"/>
  <c r="LT16" i="56"/>
  <c r="LS16" i="56"/>
  <c r="LR16" i="56"/>
  <c r="LQ16" i="56"/>
  <c r="LP16" i="56"/>
  <c r="LO16" i="56"/>
  <c r="LN16" i="56"/>
  <c r="LM16" i="56"/>
  <c r="LL16" i="56"/>
  <c r="LK16" i="56"/>
  <c r="LJ16" i="56"/>
  <c r="LI16" i="56"/>
  <c r="LH16" i="56"/>
  <c r="LG16" i="56"/>
  <c r="LF16" i="56"/>
  <c r="LE16" i="56"/>
  <c r="LD16" i="56"/>
  <c r="LC16" i="56"/>
  <c r="LB16" i="56"/>
  <c r="LA16" i="56"/>
  <c r="KZ16" i="56"/>
  <c r="KY16" i="56"/>
  <c r="KX16" i="56"/>
  <c r="KW16" i="56"/>
  <c r="KV16" i="56"/>
  <c r="KU16" i="56"/>
  <c r="KT16" i="56"/>
  <c r="KS16" i="56"/>
  <c r="KR16" i="56"/>
  <c r="KQ16" i="56"/>
  <c r="KP16" i="56"/>
  <c r="KO16" i="56"/>
  <c r="KN16" i="56"/>
  <c r="KM16" i="56"/>
  <c r="KL16" i="56"/>
  <c r="KK16" i="56"/>
  <c r="KJ16" i="56"/>
  <c r="KI16" i="56"/>
  <c r="KH16" i="56"/>
  <c r="KG16" i="56"/>
  <c r="KF16" i="56"/>
  <c r="KE16" i="56"/>
  <c r="KD16" i="56"/>
  <c r="KC16" i="56"/>
  <c r="KB16" i="56"/>
  <c r="KA16" i="56"/>
  <c r="JZ16" i="56"/>
  <c r="JY16" i="56"/>
  <c r="JX16" i="56"/>
  <c r="JW16" i="56"/>
  <c r="JV16" i="56"/>
  <c r="JU16" i="56"/>
  <c r="JT16" i="56"/>
  <c r="JS16" i="56"/>
  <c r="JR16" i="56"/>
  <c r="JQ16" i="56"/>
  <c r="JP16" i="56"/>
  <c r="JO16" i="56"/>
  <c r="JN16" i="56"/>
  <c r="JM16" i="56"/>
  <c r="JL16" i="56"/>
  <c r="JK16" i="56"/>
  <c r="JJ16" i="56"/>
  <c r="JI16" i="56"/>
  <c r="JH16" i="56"/>
  <c r="JG16" i="56"/>
  <c r="JF16" i="56"/>
  <c r="JE16" i="56"/>
  <c r="JD16" i="56"/>
  <c r="JC16" i="56"/>
  <c r="JB16" i="56"/>
  <c r="JA16" i="56"/>
  <c r="IZ16" i="56"/>
  <c r="IY16" i="56"/>
  <c r="IX16" i="56"/>
  <c r="IW16" i="56"/>
  <c r="IV16" i="56"/>
  <c r="IU16" i="56"/>
  <c r="IT16" i="56"/>
  <c r="IS16" i="56"/>
  <c r="IR16" i="56"/>
  <c r="IQ16" i="56"/>
  <c r="IP16" i="56"/>
  <c r="IO16" i="56"/>
  <c r="IN16" i="56"/>
  <c r="IM16" i="56"/>
  <c r="IL16" i="56"/>
  <c r="IK16" i="56"/>
  <c r="IJ16" i="56"/>
  <c r="II16" i="56"/>
  <c r="IH16" i="56"/>
  <c r="IG16" i="56"/>
  <c r="IF16" i="56"/>
  <c r="IE16" i="56"/>
  <c r="ID16" i="56"/>
  <c r="IC16" i="56"/>
  <c r="IB16" i="56"/>
  <c r="IA16" i="56"/>
  <c r="HZ16" i="56"/>
  <c r="HY16" i="56"/>
  <c r="HX16" i="56"/>
  <c r="HW16" i="56"/>
  <c r="HV16" i="56"/>
  <c r="HU16" i="56"/>
  <c r="HT16" i="56"/>
  <c r="HS16" i="56"/>
  <c r="HR16" i="56"/>
  <c r="HQ16" i="56"/>
  <c r="HP16" i="56"/>
  <c r="HO16" i="56"/>
  <c r="HN16" i="56"/>
  <c r="HM16" i="56"/>
  <c r="HL16" i="56"/>
  <c r="HK16" i="56"/>
  <c r="HJ16" i="56"/>
  <c r="HI16" i="56"/>
  <c r="HH16" i="56"/>
  <c r="HG16" i="56"/>
  <c r="HF16" i="56"/>
  <c r="HE16" i="56"/>
  <c r="HD16" i="56"/>
  <c r="HC16" i="56"/>
  <c r="HB16" i="56"/>
  <c r="HA16" i="56"/>
  <c r="GZ16" i="56"/>
  <c r="GY16" i="56"/>
  <c r="GX16" i="56"/>
  <c r="GW16" i="56"/>
  <c r="GV16" i="56"/>
  <c r="GU16" i="56"/>
  <c r="GT16" i="56"/>
  <c r="GS16" i="56"/>
  <c r="GR16" i="56"/>
  <c r="GQ16" i="56"/>
  <c r="GP16" i="56"/>
  <c r="GO16" i="56"/>
  <c r="GN16" i="56"/>
  <c r="GM16" i="56"/>
  <c r="GL16" i="56"/>
  <c r="GK16" i="56"/>
  <c r="GJ16" i="56"/>
  <c r="GI16" i="56"/>
  <c r="GH16" i="56"/>
  <c r="GG16" i="56"/>
  <c r="GF16" i="56"/>
  <c r="GE16" i="56"/>
  <c r="GD16" i="56"/>
  <c r="GC16" i="56"/>
  <c r="GB16" i="56"/>
  <c r="GA16" i="56"/>
  <c r="FZ16" i="56"/>
  <c r="FY16" i="56"/>
  <c r="FX16" i="56"/>
  <c r="FW16" i="56"/>
  <c r="FV16" i="56"/>
  <c r="FU16" i="56"/>
  <c r="FT16" i="56"/>
  <c r="FS16" i="56"/>
  <c r="FR16" i="56"/>
  <c r="FQ16" i="56"/>
  <c r="FP16" i="56"/>
  <c r="FO16" i="56"/>
  <c r="FN16" i="56"/>
  <c r="FM16" i="56"/>
  <c r="FL16" i="56"/>
  <c r="FK16" i="56"/>
  <c r="FJ16" i="56"/>
  <c r="FI16" i="56"/>
  <c r="FH16" i="56"/>
  <c r="FG16" i="56"/>
  <c r="FF16" i="56"/>
  <c r="FE16" i="56"/>
  <c r="FD16" i="56"/>
  <c r="FC16" i="56"/>
  <c r="FB16" i="56"/>
  <c r="FA16" i="56"/>
  <c r="EZ16" i="56"/>
  <c r="EY16" i="56"/>
  <c r="EX16" i="56"/>
  <c r="EW16" i="56"/>
  <c r="EV16" i="56"/>
  <c r="EU16" i="56"/>
  <c r="ET16" i="56"/>
  <c r="ES16" i="56"/>
  <c r="ER16" i="56"/>
  <c r="EQ16" i="56"/>
  <c r="EP16" i="56"/>
  <c r="EO16" i="56"/>
  <c r="EN16" i="56"/>
  <c r="EM16" i="56"/>
  <c r="EL16" i="56"/>
  <c r="EK16" i="56"/>
  <c r="EJ16" i="56"/>
  <c r="EI16" i="56"/>
  <c r="EH16" i="56"/>
  <c r="EG16" i="56"/>
  <c r="EF16" i="56"/>
  <c r="EE16" i="56"/>
  <c r="ED16" i="56"/>
  <c r="EC16" i="56"/>
  <c r="EB16" i="56"/>
  <c r="EA16" i="56"/>
  <c r="DZ16" i="56"/>
  <c r="DY16" i="56"/>
  <c r="DX16" i="56"/>
  <c r="DW16" i="56"/>
  <c r="DV16" i="56"/>
  <c r="DU16" i="56"/>
  <c r="DT16" i="56"/>
  <c r="DS16" i="56"/>
  <c r="DR16" i="56"/>
  <c r="DQ16" i="56"/>
  <c r="DP16" i="56"/>
  <c r="DO16" i="56"/>
  <c r="DN16" i="56"/>
  <c r="DM16" i="56"/>
  <c r="DL16" i="56"/>
  <c r="DK16" i="56"/>
  <c r="DJ16" i="56"/>
  <c r="DI16" i="56"/>
  <c r="DH16" i="56"/>
  <c r="DG16" i="56"/>
  <c r="DF16" i="56"/>
  <c r="DE16" i="56"/>
  <c r="DD16" i="56"/>
  <c r="DC16" i="56"/>
  <c r="DB16" i="56"/>
  <c r="DA16" i="56"/>
  <c r="CZ16" i="56"/>
  <c r="CY16" i="56"/>
  <c r="CX16" i="56"/>
  <c r="CW16" i="56"/>
  <c r="CV16" i="56"/>
  <c r="CU16" i="56"/>
  <c r="CT16" i="56"/>
  <c r="CS16" i="56"/>
  <c r="CR16" i="56"/>
  <c r="CQ16" i="56"/>
  <c r="CP16" i="56"/>
  <c r="CO16" i="56"/>
  <c r="CN16" i="56"/>
  <c r="CM16" i="56"/>
  <c r="CL16" i="56"/>
  <c r="CK16" i="56"/>
  <c r="CJ16" i="56"/>
  <c r="CI16" i="56"/>
  <c r="CH16" i="56"/>
  <c r="CG16" i="56"/>
  <c r="CF16" i="56"/>
  <c r="CE16" i="56"/>
  <c r="CD16" i="56"/>
  <c r="CC16" i="56"/>
  <c r="CB16" i="56"/>
  <c r="CA16" i="56"/>
  <c r="BZ16" i="56"/>
  <c r="BY16" i="56"/>
  <c r="BX16" i="56"/>
  <c r="BW16" i="56"/>
  <c r="BV16" i="56"/>
  <c r="BU16" i="56"/>
  <c r="BT16" i="56"/>
  <c r="BS16" i="56"/>
  <c r="BR16" i="56"/>
  <c r="BQ16" i="56"/>
  <c r="BP16" i="56"/>
  <c r="BO16" i="56"/>
  <c r="BN16" i="56"/>
  <c r="BM16" i="56"/>
  <c r="BL16" i="56"/>
  <c r="BK16" i="56"/>
  <c r="BJ16" i="56"/>
  <c r="BI16" i="56"/>
  <c r="BH16" i="56"/>
  <c r="BG16" i="56"/>
  <c r="BF16" i="56"/>
  <c r="BE16" i="56"/>
  <c r="BD16" i="56"/>
  <c r="BC16" i="56"/>
  <c r="BB16" i="56"/>
  <c r="BA16" i="56"/>
  <c r="AZ16" i="56"/>
  <c r="AY16" i="56"/>
  <c r="AX16" i="56"/>
  <c r="AW16" i="56"/>
  <c r="AV16" i="56"/>
  <c r="AU16" i="56"/>
  <c r="AT16" i="56"/>
  <c r="AS16" i="56"/>
  <c r="AR16" i="56"/>
  <c r="AQ16" i="56"/>
  <c r="AP16" i="56"/>
  <c r="AO16" i="56"/>
  <c r="AN16" i="56"/>
  <c r="AM16" i="56"/>
  <c r="AL16" i="56"/>
  <c r="AK16" i="56"/>
  <c r="AJ16" i="56"/>
  <c r="UH15" i="56"/>
  <c r="UA15" i="56"/>
  <c r="TT15" i="56"/>
  <c r="TM15" i="56"/>
  <c r="TF15" i="56"/>
  <c r="SY15" i="56"/>
  <c r="SR15" i="56"/>
  <c r="SK15" i="56"/>
  <c r="SD15" i="56"/>
  <c r="RW15" i="56"/>
  <c r="RP15" i="56"/>
  <c r="RI15" i="56"/>
  <c r="RB15" i="56"/>
  <c r="QU15" i="56"/>
  <c r="QN15" i="56"/>
  <c r="QG15" i="56"/>
  <c r="PZ15" i="56"/>
  <c r="PS15" i="56"/>
  <c r="PL15" i="56"/>
  <c r="PE15" i="56"/>
  <c r="OX15" i="56"/>
  <c r="OQ15" i="56"/>
  <c r="OJ15" i="56"/>
  <c r="OC15" i="56"/>
  <c r="NV15" i="56"/>
  <c r="NO15" i="56"/>
  <c r="NH15" i="56"/>
  <c r="NA15" i="56"/>
  <c r="MT15" i="56"/>
  <c r="MM15" i="56"/>
  <c r="MF15" i="56"/>
  <c r="LY15" i="56"/>
  <c r="LR15" i="56"/>
  <c r="LK15" i="56"/>
  <c r="LD15" i="56"/>
  <c r="KW15" i="56"/>
  <c r="KP15" i="56"/>
  <c r="KI15" i="56"/>
  <c r="KB15" i="56"/>
  <c r="JU15" i="56"/>
  <c r="JN15" i="56"/>
  <c r="JG15" i="56"/>
  <c r="IZ15" i="56"/>
  <c r="IS15" i="56"/>
  <c r="IL15" i="56"/>
  <c r="IE15" i="56"/>
  <c r="HX15" i="56"/>
  <c r="HQ15" i="56"/>
  <c r="HJ15" i="56"/>
  <c r="HC15" i="56"/>
  <c r="GV15" i="56"/>
  <c r="GO15" i="56"/>
  <c r="GH15" i="56"/>
  <c r="GA15" i="56"/>
  <c r="FT15" i="56"/>
  <c r="FM15" i="56"/>
  <c r="FF15" i="56"/>
  <c r="EY15" i="56"/>
  <c r="ER15" i="56"/>
  <c r="EK15" i="56"/>
  <c r="ED15" i="56"/>
  <c r="DW15" i="56"/>
  <c r="DP15" i="56"/>
  <c r="DI15" i="56"/>
  <c r="DB15" i="56"/>
  <c r="CU15" i="56"/>
  <c r="CN15" i="56"/>
  <c r="CG15" i="56"/>
  <c r="BZ15" i="56"/>
  <c r="BS15" i="56"/>
  <c r="BL15" i="56"/>
  <c r="BE15" i="56"/>
  <c r="AX15" i="56"/>
  <c r="AQ15" i="56"/>
  <c r="AJ15" i="56"/>
  <c r="AI14" i="56"/>
  <c r="AF14" i="56"/>
  <c r="AE14" i="56"/>
  <c r="AB14" i="56"/>
  <c r="Y14" i="56"/>
  <c r="X14" i="56"/>
  <c r="W14" i="56"/>
  <c r="V14" i="56"/>
  <c r="T14" i="56"/>
  <c r="S14" i="56"/>
  <c r="R14" i="56"/>
  <c r="Q14" i="56"/>
  <c r="P14" i="56"/>
  <c r="UM10" i="56"/>
  <c r="UL10" i="56"/>
  <c r="UK10" i="56"/>
  <c r="UJ10" i="56"/>
  <c r="UI10" i="56"/>
  <c r="UH10" i="56"/>
  <c r="UG10" i="56"/>
  <c r="UF10" i="56"/>
  <c r="UE10" i="56"/>
  <c r="UD10" i="56"/>
  <c r="UC10" i="56"/>
  <c r="UB10" i="56"/>
  <c r="UA10" i="56"/>
  <c r="TZ10" i="56"/>
  <c r="TY10" i="56"/>
  <c r="TX10" i="56"/>
  <c r="TW10" i="56"/>
  <c r="TV10" i="56"/>
  <c r="TU10" i="56"/>
  <c r="TT10" i="56"/>
  <c r="TS10" i="56"/>
  <c r="TR10" i="56"/>
  <c r="TQ10" i="56"/>
  <c r="TP10" i="56"/>
  <c r="TO10" i="56"/>
  <c r="TN10" i="56"/>
  <c r="TM10" i="56"/>
  <c r="TL10" i="56"/>
  <c r="TK10" i="56"/>
  <c r="TJ10" i="56"/>
  <c r="TI10" i="56"/>
  <c r="TH10" i="56"/>
  <c r="TG10" i="56"/>
  <c r="TF10" i="56"/>
  <c r="TE10" i="56"/>
  <c r="TD10" i="56"/>
  <c r="TC10" i="56"/>
  <c r="TB10" i="56"/>
  <c r="TA10" i="56"/>
  <c r="SZ10" i="56"/>
  <c r="SY10" i="56"/>
  <c r="SX10" i="56"/>
  <c r="SW10" i="56"/>
  <c r="SV10" i="56"/>
  <c r="SU10" i="56"/>
  <c r="ST10" i="56"/>
  <c r="SS10" i="56"/>
  <c r="SR10" i="56"/>
  <c r="SQ10" i="56"/>
  <c r="SP10" i="56"/>
  <c r="SO10" i="56"/>
  <c r="SN10" i="56"/>
  <c r="SM10" i="56"/>
  <c r="SL10" i="56"/>
  <c r="SK10" i="56"/>
  <c r="SJ10" i="56"/>
  <c r="SI10" i="56"/>
  <c r="SH10" i="56"/>
  <c r="SG10" i="56"/>
  <c r="SF10" i="56"/>
  <c r="SE10" i="56"/>
  <c r="SD10" i="56"/>
  <c r="SC10" i="56"/>
  <c r="SB10" i="56"/>
  <c r="SA10" i="56"/>
  <c r="RZ10" i="56"/>
  <c r="RY10" i="56"/>
  <c r="RX10" i="56"/>
  <c r="RW10" i="56"/>
  <c r="RV10" i="56"/>
  <c r="RU10" i="56"/>
  <c r="RT10" i="56"/>
  <c r="RS10" i="56"/>
  <c r="RR10" i="56"/>
  <c r="RQ10" i="56"/>
  <c r="RP10" i="56"/>
  <c r="RO10" i="56"/>
  <c r="RN10" i="56"/>
  <c r="RM10" i="56"/>
  <c r="RL10" i="56"/>
  <c r="RK10" i="56"/>
  <c r="RJ10" i="56"/>
  <c r="RI10" i="56"/>
  <c r="RH10" i="56"/>
  <c r="RG10" i="56"/>
  <c r="RF10" i="56"/>
  <c r="RE10" i="56"/>
  <c r="RD10" i="56"/>
  <c r="RC10" i="56"/>
  <c r="RB10" i="56"/>
  <c r="RA10" i="56"/>
  <c r="QZ10" i="56"/>
  <c r="QY10" i="56"/>
  <c r="QX10" i="56"/>
  <c r="QW10" i="56"/>
  <c r="QV10" i="56"/>
  <c r="QU10" i="56"/>
  <c r="QT10" i="56"/>
  <c r="QS10" i="56"/>
  <c r="QR10" i="56"/>
  <c r="QQ10" i="56"/>
  <c r="QP10" i="56"/>
  <c r="QO10" i="56"/>
  <c r="QN10" i="56"/>
  <c r="QM10" i="56"/>
  <c r="QL10" i="56"/>
  <c r="QK10" i="56"/>
  <c r="QJ10" i="56"/>
  <c r="QI10" i="56"/>
  <c r="QH10" i="56"/>
  <c r="QG10" i="56"/>
  <c r="QF10" i="56"/>
  <c r="QE10" i="56"/>
  <c r="QD10" i="56"/>
  <c r="QC10" i="56"/>
  <c r="QB10" i="56"/>
  <c r="QA10" i="56"/>
  <c r="PZ10" i="56"/>
  <c r="PY10" i="56"/>
  <c r="PX10" i="56"/>
  <c r="PW10" i="56"/>
  <c r="PV10" i="56"/>
  <c r="PU10" i="56"/>
  <c r="PT10" i="56"/>
  <c r="PS10" i="56"/>
  <c r="PR10" i="56"/>
  <c r="PQ10" i="56"/>
  <c r="PP10" i="56"/>
  <c r="PO10" i="56"/>
  <c r="PN10" i="56"/>
  <c r="PM10" i="56"/>
  <c r="PL10" i="56"/>
  <c r="PK10" i="56"/>
  <c r="PJ10" i="56"/>
  <c r="PI10" i="56"/>
  <c r="PH10" i="56"/>
  <c r="PG10" i="56"/>
  <c r="PF10" i="56"/>
  <c r="PE10" i="56"/>
  <c r="PD10" i="56"/>
  <c r="PC10" i="56"/>
  <c r="PB10" i="56"/>
  <c r="PA10" i="56"/>
  <c r="OZ10" i="56"/>
  <c r="OY10" i="56"/>
  <c r="OX10" i="56"/>
  <c r="OW10" i="56"/>
  <c r="OV10" i="56"/>
  <c r="OU10" i="56"/>
  <c r="OT10" i="56"/>
  <c r="OS10" i="56"/>
  <c r="OR10" i="56"/>
  <c r="OQ10" i="56"/>
  <c r="OP10" i="56"/>
  <c r="OO10" i="56"/>
  <c r="ON10" i="56"/>
  <c r="OM10" i="56"/>
  <c r="OL10" i="56"/>
  <c r="OK10" i="56"/>
  <c r="OJ10" i="56"/>
  <c r="OI10" i="56"/>
  <c r="OH10" i="56"/>
  <c r="OG10" i="56"/>
  <c r="OF10" i="56"/>
  <c r="OE10" i="56"/>
  <c r="OD10" i="56"/>
  <c r="OC10" i="56"/>
  <c r="OB10" i="56"/>
  <c r="OA10" i="56"/>
  <c r="NZ10" i="56"/>
  <c r="NY10" i="56"/>
  <c r="NX10" i="56"/>
  <c r="NW10" i="56"/>
  <c r="NV10" i="56"/>
  <c r="NU10" i="56"/>
  <c r="NT10" i="56"/>
  <c r="NS10" i="56"/>
  <c r="NR10" i="56"/>
  <c r="NQ10" i="56"/>
  <c r="NP10" i="56"/>
  <c r="NO10" i="56"/>
  <c r="NN10" i="56"/>
  <c r="NM10" i="56"/>
  <c r="NL10" i="56"/>
  <c r="NK10" i="56"/>
  <c r="NJ10" i="56"/>
  <c r="NI10" i="56"/>
  <c r="NH10" i="56"/>
  <c r="NG10" i="56"/>
  <c r="NF10" i="56"/>
  <c r="NE10" i="56"/>
  <c r="ND10" i="56"/>
  <c r="NC10" i="56"/>
  <c r="NB10" i="56"/>
  <c r="NA10" i="56"/>
  <c r="MZ10" i="56"/>
  <c r="MY10" i="56"/>
  <c r="MX10" i="56"/>
  <c r="MW10" i="56"/>
  <c r="MV10" i="56"/>
  <c r="MU10" i="56"/>
  <c r="MT10" i="56"/>
  <c r="MS10" i="56"/>
  <c r="MR10" i="56"/>
  <c r="MQ10" i="56"/>
  <c r="MP10" i="56"/>
  <c r="MO10" i="56"/>
  <c r="MN10" i="56"/>
  <c r="MM10" i="56"/>
  <c r="ML10" i="56"/>
  <c r="MK10" i="56"/>
  <c r="MJ10" i="56"/>
  <c r="MI10" i="56"/>
  <c r="MH10" i="56"/>
  <c r="MG10" i="56"/>
  <c r="MF10" i="56"/>
  <c r="ME10" i="56"/>
  <c r="MD10" i="56"/>
  <c r="MC10" i="56"/>
  <c r="MB10" i="56"/>
  <c r="MA10" i="56"/>
  <c r="LZ10" i="56"/>
  <c r="LY10" i="56"/>
  <c r="LX10" i="56"/>
  <c r="LW10" i="56"/>
  <c r="LV10" i="56"/>
  <c r="LU10" i="56"/>
  <c r="LT10" i="56"/>
  <c r="LS10" i="56"/>
  <c r="LR10" i="56"/>
  <c r="LQ10" i="56"/>
  <c r="LP10" i="56"/>
  <c r="LO10" i="56"/>
  <c r="LN10" i="56"/>
  <c r="LM10" i="56"/>
  <c r="LL10" i="56"/>
  <c r="LK10" i="56"/>
  <c r="LJ10" i="56"/>
  <c r="LI10" i="56"/>
  <c r="LH10" i="56"/>
  <c r="LG10" i="56"/>
  <c r="LF10" i="56"/>
  <c r="LE10" i="56"/>
  <c r="LD10" i="56"/>
  <c r="LC10" i="56"/>
  <c r="LB10" i="56"/>
  <c r="LA10" i="56"/>
  <c r="KZ10" i="56"/>
  <c r="KY10" i="56"/>
  <c r="KX10" i="56"/>
  <c r="KW10" i="56"/>
  <c r="KV10" i="56"/>
  <c r="KU10" i="56"/>
  <c r="KT10" i="56"/>
  <c r="KS10" i="56"/>
  <c r="KR10" i="56"/>
  <c r="KQ10" i="56"/>
  <c r="KP10" i="56"/>
  <c r="KO10" i="56"/>
  <c r="KN10" i="56"/>
  <c r="KM10" i="56"/>
  <c r="KL10" i="56"/>
  <c r="KK10" i="56"/>
  <c r="KJ10" i="56"/>
  <c r="KI10" i="56"/>
  <c r="KH10" i="56"/>
  <c r="KG10" i="56"/>
  <c r="KF10" i="56"/>
  <c r="KE10" i="56"/>
  <c r="KD10" i="56"/>
  <c r="KC10" i="56"/>
  <c r="KB10" i="56"/>
  <c r="KA10" i="56"/>
  <c r="JZ10" i="56"/>
  <c r="JY10" i="56"/>
  <c r="JX10" i="56"/>
  <c r="JW10" i="56"/>
  <c r="JV10" i="56"/>
  <c r="JU10" i="56"/>
  <c r="JT10" i="56"/>
  <c r="JS10" i="56"/>
  <c r="JR10" i="56"/>
  <c r="JQ10" i="56"/>
  <c r="JP10" i="56"/>
  <c r="JO10" i="56"/>
  <c r="JN10" i="56"/>
  <c r="JM10" i="56"/>
  <c r="JL10" i="56"/>
  <c r="JK10" i="56"/>
  <c r="JJ10" i="56"/>
  <c r="JI10" i="56"/>
  <c r="JH10" i="56"/>
  <c r="JG10" i="56"/>
  <c r="JF10" i="56"/>
  <c r="JE10" i="56"/>
  <c r="JD10" i="56"/>
  <c r="JC10" i="56"/>
  <c r="JB10" i="56"/>
  <c r="JA10" i="56"/>
  <c r="IZ10" i="56"/>
  <c r="IY10" i="56"/>
  <c r="IX10" i="56"/>
  <c r="IW10" i="56"/>
  <c r="IV10" i="56"/>
  <c r="IU10" i="56"/>
  <c r="IT10" i="56"/>
  <c r="IS10" i="56"/>
  <c r="IR10" i="56"/>
  <c r="IQ10" i="56"/>
  <c r="IP10" i="56"/>
  <c r="IO10" i="56"/>
  <c r="IN10" i="56"/>
  <c r="IM10" i="56"/>
  <c r="IL10" i="56"/>
  <c r="IK10" i="56"/>
  <c r="IJ10" i="56"/>
  <c r="II10" i="56"/>
  <c r="IH10" i="56"/>
  <c r="IG10" i="56"/>
  <c r="IF10" i="56"/>
  <c r="IE10" i="56"/>
  <c r="ID10" i="56"/>
  <c r="IC10" i="56"/>
  <c r="IB10" i="56"/>
  <c r="IA10" i="56"/>
  <c r="HZ10" i="56"/>
  <c r="HY10" i="56"/>
  <c r="HX10" i="56"/>
  <c r="HW10" i="56"/>
  <c r="HV10" i="56"/>
  <c r="HU10" i="56"/>
  <c r="HT10" i="56"/>
  <c r="HS10" i="56"/>
  <c r="HR10" i="56"/>
  <c r="HQ10" i="56"/>
  <c r="HP10" i="56"/>
  <c r="HO10" i="56"/>
  <c r="HN10" i="56"/>
  <c r="HM10" i="56"/>
  <c r="HL10" i="56"/>
  <c r="HK10" i="56"/>
  <c r="HJ10" i="56"/>
  <c r="HI10" i="56"/>
  <c r="HH10" i="56"/>
  <c r="HG10" i="56"/>
  <c r="HF10" i="56"/>
  <c r="HE10" i="56"/>
  <c r="HD10" i="56"/>
  <c r="HC10" i="56"/>
  <c r="HB10" i="56"/>
  <c r="HA10" i="56"/>
  <c r="GZ10" i="56"/>
  <c r="GY10" i="56"/>
  <c r="GX10" i="56"/>
  <c r="GW10" i="56"/>
  <c r="GV10" i="56"/>
  <c r="GU10" i="56"/>
  <c r="GT10" i="56"/>
  <c r="GS10" i="56"/>
  <c r="GR10" i="56"/>
  <c r="GQ10" i="56"/>
  <c r="GP10" i="56"/>
  <c r="GO10" i="56"/>
  <c r="GN10" i="56"/>
  <c r="GM10" i="56"/>
  <c r="GL10" i="56"/>
  <c r="GK10" i="56"/>
  <c r="GJ10" i="56"/>
  <c r="GI10" i="56"/>
  <c r="GH10" i="56"/>
  <c r="GG10" i="56"/>
  <c r="GF10" i="56"/>
  <c r="GE10" i="56"/>
  <c r="GD10" i="56"/>
  <c r="GC10" i="56"/>
  <c r="GB10" i="56"/>
  <c r="GA10" i="56"/>
  <c r="FZ10" i="56"/>
  <c r="FY10" i="56"/>
  <c r="FX10" i="56"/>
  <c r="FW10" i="56"/>
  <c r="FV10" i="56"/>
  <c r="FU10" i="56"/>
  <c r="FT10" i="56"/>
  <c r="FS10" i="56"/>
  <c r="FR10" i="56"/>
  <c r="FQ10" i="56"/>
  <c r="FP10" i="56"/>
  <c r="FO10" i="56"/>
  <c r="FN10" i="56"/>
  <c r="FM10" i="56"/>
  <c r="FL10" i="56"/>
  <c r="FK10" i="56"/>
  <c r="FJ10" i="56"/>
  <c r="FI10" i="56"/>
  <c r="FH10" i="56"/>
  <c r="FG10" i="56"/>
  <c r="FF10" i="56"/>
  <c r="FE10" i="56"/>
  <c r="FD10" i="56"/>
  <c r="FC10" i="56"/>
  <c r="FB10" i="56"/>
  <c r="FA10" i="56"/>
  <c r="EZ10" i="56"/>
  <c r="EY10" i="56"/>
  <c r="EX10" i="56"/>
  <c r="EW10" i="56"/>
  <c r="EV10" i="56"/>
  <c r="EU10" i="56"/>
  <c r="ET10" i="56"/>
  <c r="ES10" i="56"/>
  <c r="ER10" i="56"/>
  <c r="EQ10" i="56"/>
  <c r="EP10" i="56"/>
  <c r="EO10" i="56"/>
  <c r="EN10" i="56"/>
  <c r="EM10" i="56"/>
  <c r="EL10" i="56"/>
  <c r="EK10" i="56"/>
  <c r="EJ10" i="56"/>
  <c r="EI10" i="56"/>
  <c r="EH10" i="56"/>
  <c r="EG10" i="56"/>
  <c r="EF10" i="56"/>
  <c r="EE10" i="56"/>
  <c r="ED10" i="56"/>
  <c r="EC10" i="56"/>
  <c r="EB10" i="56"/>
  <c r="EA10" i="56"/>
  <c r="DZ10" i="56"/>
  <c r="DY10" i="56"/>
  <c r="DX10" i="56"/>
  <c r="DW10" i="56"/>
  <c r="DV10" i="56"/>
  <c r="DU10" i="56"/>
  <c r="DT10" i="56"/>
  <c r="DS10" i="56"/>
  <c r="DR10" i="56"/>
  <c r="DQ10" i="56"/>
  <c r="DP10" i="56"/>
  <c r="DO10" i="56"/>
  <c r="DN10" i="56"/>
  <c r="DM10" i="56"/>
  <c r="DL10" i="56"/>
  <c r="DK10" i="56"/>
  <c r="DJ10" i="56"/>
  <c r="DI10" i="56"/>
  <c r="DH10" i="56"/>
  <c r="DG10" i="56"/>
  <c r="DF10" i="56"/>
  <c r="DE10" i="56"/>
  <c r="DD10" i="56"/>
  <c r="DC10" i="56"/>
  <c r="DB10" i="56"/>
  <c r="DA10" i="56"/>
  <c r="CZ10" i="56"/>
  <c r="CY10" i="56"/>
  <c r="CX10" i="56"/>
  <c r="CW10" i="56"/>
  <c r="CV10" i="56"/>
  <c r="CU10" i="56"/>
  <c r="CT10" i="56"/>
  <c r="CS10" i="56"/>
  <c r="CR10" i="56"/>
  <c r="CQ10" i="56"/>
  <c r="CP10" i="56"/>
  <c r="CO10" i="56"/>
  <c r="CN10" i="56"/>
  <c r="CM10" i="56"/>
  <c r="CL10" i="56"/>
  <c r="CK10" i="56"/>
  <c r="CJ10" i="56"/>
  <c r="CI10" i="56"/>
  <c r="CH10" i="56"/>
  <c r="CG10" i="56"/>
  <c r="CF10" i="56"/>
  <c r="CE10" i="56"/>
  <c r="CD10" i="56"/>
  <c r="CC10" i="56"/>
  <c r="CB10" i="56"/>
  <c r="CA10" i="56"/>
  <c r="BZ10" i="56"/>
  <c r="BY10" i="56"/>
  <c r="BX10" i="56"/>
  <c r="BW10" i="56"/>
  <c r="BV10" i="56"/>
  <c r="BU10" i="56"/>
  <c r="BT10" i="56"/>
  <c r="BS10" i="56"/>
  <c r="BR10" i="56"/>
  <c r="BQ10" i="56"/>
  <c r="BP10" i="56"/>
  <c r="BO10" i="56"/>
  <c r="BN10" i="56"/>
  <c r="BM10" i="56"/>
  <c r="BL10" i="56"/>
  <c r="BK10" i="56"/>
  <c r="BJ10" i="56"/>
  <c r="BI10" i="56"/>
  <c r="BH10" i="56"/>
  <c r="BG10" i="56"/>
  <c r="BF10" i="56"/>
  <c r="BE10" i="56"/>
  <c r="BD10" i="56"/>
  <c r="BC10" i="56"/>
  <c r="BB10" i="56"/>
  <c r="BA10" i="56"/>
  <c r="AZ10" i="56"/>
  <c r="AY10" i="56"/>
  <c r="AX10" i="56"/>
  <c r="AW10" i="56"/>
  <c r="AV10" i="56"/>
  <c r="AU10" i="56"/>
  <c r="AT10" i="56"/>
  <c r="AS10" i="56"/>
  <c r="AR10" i="56"/>
  <c r="AQ10" i="56"/>
  <c r="AP10" i="56"/>
  <c r="AO10" i="56"/>
  <c r="AN10" i="56"/>
  <c r="AM10" i="56"/>
  <c r="AL10" i="56"/>
  <c r="AK10" i="56"/>
  <c r="AJ10" i="56"/>
  <c r="UM8" i="56"/>
  <c r="UL8" i="56"/>
  <c r="UK8" i="56"/>
  <c r="UJ8" i="56"/>
  <c r="UI8" i="56"/>
  <c r="UH8" i="56"/>
  <c r="UG8" i="56"/>
  <c r="UF8" i="56"/>
  <c r="UE8" i="56"/>
  <c r="UD8" i="56"/>
  <c r="UC8" i="56"/>
  <c r="UB8" i="56"/>
  <c r="UA8" i="56"/>
  <c r="TZ8" i="56"/>
  <c r="TY8" i="56"/>
  <c r="TX8" i="56"/>
  <c r="TW8" i="56"/>
  <c r="TV8" i="56"/>
  <c r="TU8" i="56"/>
  <c r="TT8" i="56"/>
  <c r="TS8" i="56"/>
  <c r="TR8" i="56"/>
  <c r="TQ8" i="56"/>
  <c r="TP8" i="56"/>
  <c r="TO8" i="56"/>
  <c r="TN8" i="56"/>
  <c r="TM8" i="56"/>
  <c r="TL8" i="56"/>
  <c r="TK8" i="56"/>
  <c r="TJ8" i="56"/>
  <c r="TI8" i="56"/>
  <c r="TH8" i="56"/>
  <c r="TG8" i="56"/>
  <c r="TF8" i="56"/>
  <c r="TE8" i="56"/>
  <c r="TD8" i="56"/>
  <c r="TC8" i="56"/>
  <c r="TB8" i="56"/>
  <c r="TA8" i="56"/>
  <c r="SZ8" i="56"/>
  <c r="SY8" i="56"/>
  <c r="SX8" i="56"/>
  <c r="SW8" i="56"/>
  <c r="SV8" i="56"/>
  <c r="SU8" i="56"/>
  <c r="ST8" i="56"/>
  <c r="SS8" i="56"/>
  <c r="SR8" i="56"/>
  <c r="SQ8" i="56"/>
  <c r="SP8" i="56"/>
  <c r="SO8" i="56"/>
  <c r="SN8" i="56"/>
  <c r="SM8" i="56"/>
  <c r="SL8" i="56"/>
  <c r="SK8" i="56"/>
  <c r="SJ8" i="56"/>
  <c r="SI8" i="56"/>
  <c r="SH8" i="56"/>
  <c r="SG8" i="56"/>
  <c r="SF8" i="56"/>
  <c r="SE8" i="56"/>
  <c r="SD8" i="56"/>
  <c r="SC8" i="56"/>
  <c r="SB8" i="56"/>
  <c r="SA8" i="56"/>
  <c r="RZ8" i="56"/>
  <c r="RY8" i="56"/>
  <c r="RX8" i="56"/>
  <c r="RW8" i="56"/>
  <c r="RV8" i="56"/>
  <c r="RU8" i="56"/>
  <c r="RT8" i="56"/>
  <c r="RS8" i="56"/>
  <c r="RR8" i="56"/>
  <c r="RQ8" i="56"/>
  <c r="RP8" i="56"/>
  <c r="RO8" i="56"/>
  <c r="RN8" i="56"/>
  <c r="RM8" i="56"/>
  <c r="RL8" i="56"/>
  <c r="RK8" i="56"/>
  <c r="RJ8" i="56"/>
  <c r="RI8" i="56"/>
  <c r="RH8" i="56"/>
  <c r="RG8" i="56"/>
  <c r="RF8" i="56"/>
  <c r="RE8" i="56"/>
  <c r="RD8" i="56"/>
  <c r="RC8" i="56"/>
  <c r="RB8" i="56"/>
  <c r="RA8" i="56"/>
  <c r="QZ8" i="56"/>
  <c r="QY8" i="56"/>
  <c r="QX8" i="56"/>
  <c r="QW8" i="56"/>
  <c r="QV8" i="56"/>
  <c r="QU8" i="56"/>
  <c r="QT8" i="56"/>
  <c r="QS8" i="56"/>
  <c r="QR8" i="56"/>
  <c r="QQ8" i="56"/>
  <c r="QP8" i="56"/>
  <c r="QO8" i="56"/>
  <c r="QN8" i="56"/>
  <c r="QM8" i="56"/>
  <c r="QL8" i="56"/>
  <c r="QK8" i="56"/>
  <c r="QJ8" i="56"/>
  <c r="QI8" i="56"/>
  <c r="QH8" i="56"/>
  <c r="QG8" i="56"/>
  <c r="QF8" i="56"/>
  <c r="QE8" i="56"/>
  <c r="QD8" i="56"/>
  <c r="QC8" i="56"/>
  <c r="QB8" i="56"/>
  <c r="QA8" i="56"/>
  <c r="PZ8" i="56"/>
  <c r="PY8" i="56"/>
  <c r="PX8" i="56"/>
  <c r="PW8" i="56"/>
  <c r="PV8" i="56"/>
  <c r="PU8" i="56"/>
  <c r="PT8" i="56"/>
  <c r="PS8" i="56"/>
  <c r="PR8" i="56"/>
  <c r="PQ8" i="56"/>
  <c r="PP8" i="56"/>
  <c r="PO8" i="56"/>
  <c r="PN8" i="56"/>
  <c r="PM8" i="56"/>
  <c r="PL8" i="56"/>
  <c r="PK8" i="56"/>
  <c r="PJ8" i="56"/>
  <c r="PI8" i="56"/>
  <c r="PH8" i="56"/>
  <c r="PG8" i="56"/>
  <c r="PF8" i="56"/>
  <c r="PE8" i="56"/>
  <c r="PD8" i="56"/>
  <c r="PC8" i="56"/>
  <c r="PB8" i="56"/>
  <c r="PA8" i="56"/>
  <c r="OZ8" i="56"/>
  <c r="OY8" i="56"/>
  <c r="OX8" i="56"/>
  <c r="OW8" i="56"/>
  <c r="OV8" i="56"/>
  <c r="OU8" i="56"/>
  <c r="OT8" i="56"/>
  <c r="OS8" i="56"/>
  <c r="OR8" i="56"/>
  <c r="OQ8" i="56"/>
  <c r="OP8" i="56"/>
  <c r="OO8" i="56"/>
  <c r="ON8" i="56"/>
  <c r="OM8" i="56"/>
  <c r="OL8" i="56"/>
  <c r="OK8" i="56"/>
  <c r="OJ8" i="56"/>
  <c r="OI8" i="56"/>
  <c r="OH8" i="56"/>
  <c r="OG8" i="56"/>
  <c r="OF8" i="56"/>
  <c r="OE8" i="56"/>
  <c r="OD8" i="56"/>
  <c r="OC8" i="56"/>
  <c r="OB8" i="56"/>
  <c r="OA8" i="56"/>
  <c r="NZ8" i="56"/>
  <c r="NY8" i="56"/>
  <c r="NX8" i="56"/>
  <c r="NW8" i="56"/>
  <c r="NV8" i="56"/>
  <c r="NU8" i="56"/>
  <c r="NT8" i="56"/>
  <c r="NS8" i="56"/>
  <c r="NR8" i="56"/>
  <c r="NQ8" i="56"/>
  <c r="NP8" i="56"/>
  <c r="NO8" i="56"/>
  <c r="NN8" i="56"/>
  <c r="NM8" i="56"/>
  <c r="NL8" i="56"/>
  <c r="NK8" i="56"/>
  <c r="NJ8" i="56"/>
  <c r="NI8" i="56"/>
  <c r="NH8" i="56"/>
  <c r="NG8" i="56"/>
  <c r="NF8" i="56"/>
  <c r="NE8" i="56"/>
  <c r="ND8" i="56"/>
  <c r="NC8" i="56"/>
  <c r="NB8" i="56"/>
  <c r="NA8" i="56"/>
  <c r="MZ8" i="56"/>
  <c r="MY8" i="56"/>
  <c r="MX8" i="56"/>
  <c r="MW8" i="56"/>
  <c r="MV8" i="56"/>
  <c r="MU8" i="56"/>
  <c r="MT8" i="56"/>
  <c r="MS8" i="56"/>
  <c r="MR8" i="56"/>
  <c r="MQ8" i="56"/>
  <c r="MP8" i="56"/>
  <c r="MO8" i="56"/>
  <c r="MN8" i="56"/>
  <c r="MM8" i="56"/>
  <c r="ML8" i="56"/>
  <c r="MK8" i="56"/>
  <c r="MJ8" i="56"/>
  <c r="MI8" i="56"/>
  <c r="MH8" i="56"/>
  <c r="MG8" i="56"/>
  <c r="MF8" i="56"/>
  <c r="ME8" i="56"/>
  <c r="MD8" i="56"/>
  <c r="MC8" i="56"/>
  <c r="MB8" i="56"/>
  <c r="MA8" i="56"/>
  <c r="LZ8" i="56"/>
  <c r="LY8" i="56"/>
  <c r="LX8" i="56"/>
  <c r="LW8" i="56"/>
  <c r="LV8" i="56"/>
  <c r="LU8" i="56"/>
  <c r="LT8" i="56"/>
  <c r="LS8" i="56"/>
  <c r="LR8" i="56"/>
  <c r="LQ8" i="56"/>
  <c r="LP8" i="56"/>
  <c r="LO8" i="56"/>
  <c r="LN8" i="56"/>
  <c r="LM8" i="56"/>
  <c r="LL8" i="56"/>
  <c r="LK8" i="56"/>
  <c r="LJ8" i="56"/>
  <c r="LI8" i="56"/>
  <c r="LH8" i="56"/>
  <c r="LG8" i="56"/>
  <c r="LF8" i="56"/>
  <c r="LE8" i="56"/>
  <c r="LD8" i="56"/>
  <c r="LC8" i="56"/>
  <c r="LB8" i="56"/>
  <c r="LA8" i="56"/>
  <c r="KZ8" i="56"/>
  <c r="KY8" i="56"/>
  <c r="KX8" i="56"/>
  <c r="KW8" i="56"/>
  <c r="KV8" i="56"/>
  <c r="KU8" i="56"/>
  <c r="KT8" i="56"/>
  <c r="KS8" i="56"/>
  <c r="KR8" i="56"/>
  <c r="KQ8" i="56"/>
  <c r="KP8" i="56"/>
  <c r="KO8" i="56"/>
  <c r="KN8" i="56"/>
  <c r="KM8" i="56"/>
  <c r="KL8" i="56"/>
  <c r="KK8" i="56"/>
  <c r="KJ8" i="56"/>
  <c r="KI8" i="56"/>
  <c r="KH8" i="56"/>
  <c r="KG8" i="56"/>
  <c r="KF8" i="56"/>
  <c r="KE8" i="56"/>
  <c r="KD8" i="56"/>
  <c r="KC8" i="56"/>
  <c r="KB8" i="56"/>
  <c r="KA8" i="56"/>
  <c r="JZ8" i="56"/>
  <c r="JY8" i="56"/>
  <c r="JX8" i="56"/>
  <c r="JW8" i="56"/>
  <c r="JV8" i="56"/>
  <c r="JU8" i="56"/>
  <c r="JT8" i="56"/>
  <c r="JS8" i="56"/>
  <c r="JR8" i="56"/>
  <c r="JQ8" i="56"/>
  <c r="JP8" i="56"/>
  <c r="JO8" i="56"/>
  <c r="JN8" i="56"/>
  <c r="JM8" i="56"/>
  <c r="JL8" i="56"/>
  <c r="JK8" i="56"/>
  <c r="JJ8" i="56"/>
  <c r="JI8" i="56"/>
  <c r="JH8" i="56"/>
  <c r="JG8" i="56"/>
  <c r="JF8" i="56"/>
  <c r="JE8" i="56"/>
  <c r="JD8" i="56"/>
  <c r="JC8" i="56"/>
  <c r="JB8" i="56"/>
  <c r="JA8" i="56"/>
  <c r="IZ8" i="56"/>
  <c r="IY8" i="56"/>
  <c r="IX8" i="56"/>
  <c r="IW8" i="56"/>
  <c r="IV8" i="56"/>
  <c r="IU8" i="56"/>
  <c r="IT8" i="56"/>
  <c r="IS8" i="56"/>
  <c r="IR8" i="56"/>
  <c r="IQ8" i="56"/>
  <c r="IP8" i="56"/>
  <c r="IO8" i="56"/>
  <c r="IN8" i="56"/>
  <c r="IM8" i="56"/>
  <c r="IL8" i="56"/>
  <c r="IK8" i="56"/>
  <c r="IJ8" i="56"/>
  <c r="II8" i="56"/>
  <c r="IH8" i="56"/>
  <c r="IG8" i="56"/>
  <c r="IF8" i="56"/>
  <c r="IE8" i="56"/>
  <c r="ID8" i="56"/>
  <c r="IC8" i="56"/>
  <c r="IB8" i="56"/>
  <c r="IA8" i="56"/>
  <c r="HZ8" i="56"/>
  <c r="HY8" i="56"/>
  <c r="HX8" i="56"/>
  <c r="HW8" i="56"/>
  <c r="HV8" i="56"/>
  <c r="HU8" i="56"/>
  <c r="HT8" i="56"/>
  <c r="HS8" i="56"/>
  <c r="HR8" i="56"/>
  <c r="HQ8" i="56"/>
  <c r="HP8" i="56"/>
  <c r="HO8" i="56"/>
  <c r="HN8" i="56"/>
  <c r="HM8" i="56"/>
  <c r="HL8" i="56"/>
  <c r="HK8" i="56"/>
  <c r="HJ8" i="56"/>
  <c r="HI8" i="56"/>
  <c r="HH8" i="56"/>
  <c r="HG8" i="56"/>
  <c r="HF8" i="56"/>
  <c r="HE8" i="56"/>
  <c r="HD8" i="56"/>
  <c r="HC8" i="56"/>
  <c r="HB8" i="56"/>
  <c r="HA8" i="56"/>
  <c r="GZ8" i="56"/>
  <c r="GY8" i="56"/>
  <c r="GX8" i="56"/>
  <c r="GW8" i="56"/>
  <c r="GV8" i="56"/>
  <c r="GU8" i="56"/>
  <c r="GT8" i="56"/>
  <c r="GS8" i="56"/>
  <c r="GR8" i="56"/>
  <c r="GQ8" i="56"/>
  <c r="GP8" i="56"/>
  <c r="GO8" i="56"/>
  <c r="GN8" i="56"/>
  <c r="GM8" i="56"/>
  <c r="GL8" i="56"/>
  <c r="GK8" i="56"/>
  <c r="GJ8" i="56"/>
  <c r="GI8" i="56"/>
  <c r="GH8" i="56"/>
  <c r="GG8" i="56"/>
  <c r="GF8" i="56"/>
  <c r="GE8" i="56"/>
  <c r="GD8" i="56"/>
  <c r="GC8" i="56"/>
  <c r="GB8" i="56"/>
  <c r="GA8" i="56"/>
  <c r="FZ8" i="56"/>
  <c r="FY8" i="56"/>
  <c r="FX8" i="56"/>
  <c r="FW8" i="56"/>
  <c r="FV8" i="56"/>
  <c r="FU8" i="56"/>
  <c r="FT8" i="56"/>
  <c r="FS8" i="56"/>
  <c r="FR8" i="56"/>
  <c r="FQ8" i="56"/>
  <c r="FP8" i="56"/>
  <c r="FO8" i="56"/>
  <c r="FN8" i="56"/>
  <c r="FM8" i="56"/>
  <c r="FL8" i="56"/>
  <c r="FK8" i="56"/>
  <c r="FJ8" i="56"/>
  <c r="FI8" i="56"/>
  <c r="FH8" i="56"/>
  <c r="FG8" i="56"/>
  <c r="FF8" i="56"/>
  <c r="FE8" i="56"/>
  <c r="FD8" i="56"/>
  <c r="FC8" i="56"/>
  <c r="FB8" i="56"/>
  <c r="FA8" i="56"/>
  <c r="EZ8" i="56"/>
  <c r="EY8" i="56"/>
  <c r="EX8" i="56"/>
  <c r="EW8" i="56"/>
  <c r="EV8" i="56"/>
  <c r="EU8" i="56"/>
  <c r="ET8" i="56"/>
  <c r="ES8" i="56"/>
  <c r="ER8" i="56"/>
  <c r="EQ8" i="56"/>
  <c r="EP8" i="56"/>
  <c r="EO8" i="56"/>
  <c r="EN8" i="56"/>
  <c r="EM8" i="56"/>
  <c r="EL8" i="56"/>
  <c r="EK8" i="56"/>
  <c r="EJ8" i="56"/>
  <c r="EI8" i="56"/>
  <c r="EH8" i="56"/>
  <c r="EG8" i="56"/>
  <c r="EF8" i="56"/>
  <c r="EE8" i="56"/>
  <c r="ED8" i="56"/>
  <c r="EC8" i="56"/>
  <c r="EB8" i="56"/>
  <c r="EA8" i="56"/>
  <c r="DZ8" i="56"/>
  <c r="DY8" i="56"/>
  <c r="DX8" i="56"/>
  <c r="DW8" i="56"/>
  <c r="DV8" i="56"/>
  <c r="DU8" i="56"/>
  <c r="DT8" i="56"/>
  <c r="DS8" i="56"/>
  <c r="DR8" i="56"/>
  <c r="DQ8" i="56"/>
  <c r="DP8" i="56"/>
  <c r="DO8" i="56"/>
  <c r="DN8" i="56"/>
  <c r="DM8" i="56"/>
  <c r="DL8" i="56"/>
  <c r="DK8" i="56"/>
  <c r="DJ8" i="56"/>
  <c r="DI8" i="56"/>
  <c r="DH8" i="56"/>
  <c r="DG8" i="56"/>
  <c r="DF8" i="56"/>
  <c r="DE8" i="56"/>
  <c r="DD8" i="56"/>
  <c r="DC8" i="56"/>
  <c r="DB8" i="56"/>
  <c r="DA8" i="56"/>
  <c r="CZ8" i="56"/>
  <c r="CY8" i="56"/>
  <c r="CX8" i="56"/>
  <c r="CW8" i="56"/>
  <c r="CV8" i="56"/>
  <c r="CU8" i="56"/>
  <c r="CT8" i="56"/>
  <c r="CS8" i="56"/>
  <c r="CR8" i="56"/>
  <c r="CQ8" i="56"/>
  <c r="CP8" i="56"/>
  <c r="CO8" i="56"/>
  <c r="CN8" i="56"/>
  <c r="CM8" i="56"/>
  <c r="CL8" i="56"/>
  <c r="CK8" i="56"/>
  <c r="CJ8" i="56"/>
  <c r="CI8" i="56"/>
  <c r="CH8" i="56"/>
  <c r="CG8" i="56"/>
  <c r="CF8" i="56"/>
  <c r="CE8" i="56"/>
  <c r="CD8" i="56"/>
  <c r="CC8" i="56"/>
  <c r="CB8" i="56"/>
  <c r="CA8" i="56"/>
  <c r="BZ8" i="56"/>
  <c r="BY8" i="56"/>
  <c r="BX8" i="56"/>
  <c r="BW8" i="56"/>
  <c r="BV8" i="56"/>
  <c r="BU8" i="56"/>
  <c r="BT8" i="56"/>
  <c r="BS8" i="56"/>
  <c r="BR8" i="56"/>
  <c r="BQ8" i="56"/>
  <c r="BP8" i="56"/>
  <c r="BO8" i="56"/>
  <c r="BN8" i="56"/>
  <c r="BM8" i="56"/>
  <c r="BL8" i="56"/>
  <c r="BK8" i="56"/>
  <c r="BJ8" i="56"/>
  <c r="BI8" i="56"/>
  <c r="BH8" i="56"/>
  <c r="BG8" i="56"/>
  <c r="BF8" i="56"/>
  <c r="BE8" i="56"/>
  <c r="BD8" i="56"/>
  <c r="BC8" i="56"/>
  <c r="BB8" i="56"/>
  <c r="BA8" i="56"/>
  <c r="AZ8" i="56"/>
  <c r="AY8" i="56"/>
  <c r="AX8" i="56"/>
  <c r="AW8" i="56"/>
  <c r="AV8" i="56"/>
  <c r="AU8" i="56"/>
  <c r="AT8" i="56"/>
  <c r="AS8" i="56"/>
  <c r="AR8" i="56"/>
  <c r="AQ8" i="56"/>
  <c r="AP8" i="56"/>
  <c r="AO8" i="56"/>
  <c r="AN8" i="56"/>
  <c r="AM8" i="56"/>
  <c r="AL8" i="56"/>
  <c r="AK8" i="56"/>
  <c r="AJ8" i="56"/>
  <c r="KN7" i="56"/>
  <c r="KM7" i="56"/>
  <c r="KL7" i="56"/>
  <c r="KK7" i="56"/>
  <c r="KJ7" i="56"/>
  <c r="KI7" i="56"/>
  <c r="KH7" i="56"/>
  <c r="KG7" i="56"/>
  <c r="KF7" i="56"/>
  <c r="KE7" i="56"/>
  <c r="JU7" i="56"/>
  <c r="JT7" i="56"/>
  <c r="JS7" i="56"/>
  <c r="JR7" i="56"/>
  <c r="JQ7" i="56"/>
  <c r="JP7" i="56"/>
  <c r="JO7" i="56"/>
  <c r="JN7" i="56"/>
  <c r="JM7" i="56"/>
  <c r="JL7" i="56"/>
  <c r="JK7" i="56"/>
  <c r="JJ7" i="56"/>
  <c r="JI7" i="56"/>
  <c r="JH7" i="56"/>
  <c r="JG7" i="56"/>
  <c r="JF7" i="56"/>
  <c r="JE7" i="56"/>
  <c r="JD7" i="56"/>
  <c r="JC7" i="56"/>
  <c r="JB7" i="56"/>
  <c r="JA7" i="56"/>
  <c r="IZ7" i="56"/>
  <c r="IY7" i="56"/>
  <c r="IX7" i="56"/>
  <c r="IW7" i="56"/>
  <c r="IV7" i="56"/>
  <c r="IU7" i="56"/>
  <c r="IT7" i="56"/>
  <c r="IS7" i="56"/>
  <c r="IR7" i="56"/>
  <c r="IQ7" i="56"/>
  <c r="IP7" i="56"/>
  <c r="IO7" i="56"/>
  <c r="IN7" i="56"/>
  <c r="IM7" i="56"/>
  <c r="IL7" i="56"/>
  <c r="IK7" i="56"/>
  <c r="IJ7" i="56"/>
  <c r="II7" i="56"/>
  <c r="IH7" i="56"/>
  <c r="IG7" i="56"/>
  <c r="IF7" i="56"/>
  <c r="IE7" i="56"/>
  <c r="ID7" i="56"/>
  <c r="IC7" i="56"/>
  <c r="IB7" i="56"/>
  <c r="IA7" i="56"/>
  <c r="FD7" i="56"/>
  <c r="FB7" i="56"/>
  <c r="EZ7" i="56"/>
  <c r="EE7" i="56"/>
  <c r="EM7" i="56"/>
  <c r="EK7" i="56"/>
  <c r="EI7" i="56"/>
  <c r="E337" i="21"/>
  <c r="E338" i="21"/>
  <c r="E339" i="21"/>
  <c r="E340" i="21"/>
  <c r="E341" i="21"/>
  <c r="E342" i="21"/>
  <c r="F338" i="21"/>
  <c r="F337" i="21"/>
  <c r="F340" i="21"/>
  <c r="F339" i="21"/>
  <c r="F342" i="21"/>
  <c r="F341" i="21"/>
  <c r="L167" i="21"/>
  <c r="N149" i="21"/>
  <c r="N152" i="21"/>
  <c r="N148" i="21"/>
  <c r="N95" i="21"/>
  <c r="N78" i="21"/>
  <c r="N77" i="21"/>
  <c r="N72" i="21"/>
  <c r="N71" i="21"/>
  <c r="N70" i="21"/>
  <c r="N69" i="21"/>
  <c r="N68" i="21"/>
  <c r="N67" i="21"/>
  <c r="N66" i="21"/>
  <c r="N65" i="21"/>
  <c r="N64" i="21"/>
  <c r="N63" i="21"/>
  <c r="N62" i="21"/>
  <c r="M221" i="21"/>
  <c r="M220" i="21"/>
  <c r="M219" i="21"/>
  <c r="M218" i="21"/>
  <c r="M217" i="21"/>
  <c r="M216" i="21"/>
  <c r="M149" i="21"/>
  <c r="M152" i="21"/>
  <c r="M148" i="21"/>
  <c r="M95" i="21"/>
  <c r="M78" i="21"/>
  <c r="M77" i="21"/>
  <c r="M72" i="21"/>
  <c r="M71" i="21"/>
  <c r="M70" i="21"/>
  <c r="M69" i="21"/>
  <c r="M68" i="21"/>
  <c r="M67" i="21"/>
  <c r="M66" i="21"/>
  <c r="M65" i="21"/>
  <c r="M64" i="21"/>
  <c r="M63" i="21"/>
  <c r="M62" i="21"/>
  <c r="N252" i="21"/>
  <c r="M305" i="21"/>
  <c r="N254" i="21"/>
  <c r="M250" i="21"/>
  <c r="J252" i="21"/>
  <c r="L252" i="21"/>
  <c r="M304" i="21"/>
  <c r="M257" i="21"/>
  <c r="L254" i="21"/>
  <c r="K250" i="21"/>
  <c r="J251" i="21"/>
  <c r="M303" i="21"/>
  <c r="K257" i="21"/>
  <c r="J254" i="21"/>
  <c r="N303" i="21"/>
  <c r="N306" i="21"/>
  <c r="K251" i="21"/>
  <c r="N250" i="21"/>
  <c r="M302" i="21"/>
  <c r="M252" i="21"/>
  <c r="K254" i="21"/>
  <c r="M301" i="21"/>
  <c r="K252" i="21"/>
  <c r="N304" i="21"/>
  <c r="N257" i="21"/>
  <c r="M254" i="21"/>
  <c r="L250" i="21"/>
  <c r="N305" i="21"/>
  <c r="L257" i="21"/>
  <c r="N251" i="21"/>
  <c r="M251" i="21"/>
  <c r="L251" i="21"/>
  <c r="N302" i="21"/>
  <c r="J257" i="21"/>
  <c r="N301" i="21"/>
  <c r="M306" i="21"/>
  <c r="J250" i="21"/>
  <c r="F336" i="21"/>
  <c r="E336" i="21"/>
  <c r="F335" i="21"/>
  <c r="E335" i="21"/>
  <c r="F334" i="21"/>
  <c r="E334" i="21"/>
  <c r="F333" i="21"/>
  <c r="E333" i="21"/>
  <c r="F332" i="21"/>
  <c r="E332" i="21"/>
  <c r="J77" i="21"/>
  <c r="K77" i="21"/>
  <c r="L77" i="21"/>
  <c r="I77" i="21"/>
  <c r="J78" i="21"/>
  <c r="K78" i="21"/>
  <c r="L78" i="21"/>
  <c r="I78" i="21"/>
  <c r="F331" i="21"/>
  <c r="E331" i="21"/>
  <c r="F324" i="21"/>
  <c r="F325" i="21"/>
  <c r="F326" i="21"/>
  <c r="F327" i="21"/>
  <c r="F328" i="21"/>
  <c r="F329" i="21"/>
  <c r="F330" i="21"/>
  <c r="F323" i="21"/>
  <c r="E324" i="21"/>
  <c r="E325" i="21"/>
  <c r="E326" i="21"/>
  <c r="E327" i="21"/>
  <c r="E328" i="21"/>
  <c r="E329" i="21"/>
  <c r="E330" i="21"/>
  <c r="E323" i="21"/>
  <c r="F322" i="21"/>
  <c r="E322" i="21"/>
  <c r="F321" i="21"/>
  <c r="F320" i="21"/>
  <c r="E321" i="21"/>
  <c r="E320" i="21"/>
  <c r="F319" i="21"/>
  <c r="F318" i="21"/>
  <c r="E319" i="21"/>
  <c r="E318" i="21"/>
  <c r="F317" i="21"/>
  <c r="F316" i="21"/>
  <c r="E317" i="21"/>
  <c r="E316" i="21"/>
  <c r="J171" i="21"/>
  <c r="I171" i="21"/>
  <c r="J150" i="21"/>
  <c r="I150" i="21"/>
  <c r="F183" i="21"/>
  <c r="E183" i="21"/>
  <c r="F182" i="21"/>
  <c r="E182" i="21"/>
  <c r="F181" i="21"/>
  <c r="E181" i="21"/>
  <c r="F180" i="21"/>
  <c r="E180" i="21"/>
  <c r="F179" i="21"/>
  <c r="E179" i="21"/>
  <c r="F178" i="21"/>
  <c r="E178" i="21"/>
  <c r="F177" i="21"/>
  <c r="E177" i="21"/>
  <c r="F176" i="21"/>
  <c r="E176" i="21"/>
  <c r="F175" i="21"/>
  <c r="E175" i="21"/>
  <c r="F174" i="21"/>
  <c r="E174" i="21"/>
  <c r="F173" i="21"/>
  <c r="E173" i="21"/>
  <c r="F230" i="21"/>
  <c r="E230" i="21"/>
  <c r="F315" i="21"/>
  <c r="E315" i="21"/>
  <c r="E313" i="21"/>
  <c r="F313" i="21"/>
  <c r="E314" i="21"/>
  <c r="F314" i="21"/>
  <c r="F229" i="21"/>
  <c r="E229" i="21"/>
  <c r="F228" i="21"/>
  <c r="E228" i="21"/>
  <c r="F222" i="21"/>
  <c r="F223" i="21"/>
  <c r="F224" i="21"/>
  <c r="F225" i="21"/>
  <c r="F226" i="21"/>
  <c r="F227" i="21"/>
  <c r="E222" i="21"/>
  <c r="E223" i="21"/>
  <c r="E224" i="21"/>
  <c r="E225" i="21"/>
  <c r="E226" i="21"/>
  <c r="E227" i="21"/>
  <c r="F312" i="21"/>
  <c r="E312" i="21"/>
  <c r="F311" i="21"/>
  <c r="E311" i="21"/>
  <c r="F310" i="21"/>
  <c r="E310" i="21"/>
  <c r="F309" i="21"/>
  <c r="E309" i="21"/>
  <c r="F308" i="21"/>
  <c r="E308" i="21"/>
  <c r="F307" i="21"/>
  <c r="E307" i="21"/>
  <c r="F306" i="21"/>
  <c r="E306" i="21"/>
  <c r="F305" i="21"/>
  <c r="E305" i="21"/>
  <c r="F304" i="21"/>
  <c r="E304" i="21"/>
  <c r="F303" i="21"/>
  <c r="E303" i="21"/>
  <c r="F302" i="21"/>
  <c r="E302" i="21"/>
  <c r="F301" i="21"/>
  <c r="E301" i="21"/>
  <c r="F300" i="21"/>
  <c r="E300" i="21"/>
  <c r="K216" i="21"/>
  <c r="L216" i="21"/>
  <c r="K217" i="21"/>
  <c r="L217" i="21"/>
  <c r="K218" i="21"/>
  <c r="L218" i="21"/>
  <c r="K219" i="21"/>
  <c r="L219" i="21"/>
  <c r="K220" i="21"/>
  <c r="L220" i="21"/>
  <c r="K221" i="21"/>
  <c r="L221" i="21"/>
  <c r="I216" i="21"/>
  <c r="I217" i="21"/>
  <c r="I218" i="21"/>
  <c r="I219" i="21"/>
  <c r="I220" i="21"/>
  <c r="I221" i="21"/>
  <c r="J217" i="21"/>
  <c r="J218" i="21"/>
  <c r="J219" i="21"/>
  <c r="J220" i="21"/>
  <c r="J221" i="21"/>
  <c r="J216" i="21"/>
  <c r="F221" i="21"/>
  <c r="E221" i="21"/>
  <c r="F220" i="21"/>
  <c r="E220" i="21"/>
  <c r="F219" i="21"/>
  <c r="E219" i="21"/>
  <c r="F218" i="21"/>
  <c r="E218" i="21"/>
  <c r="F217" i="21"/>
  <c r="E217" i="21"/>
  <c r="F216" i="21"/>
  <c r="E216" i="21"/>
  <c r="F215" i="21"/>
  <c r="E215" i="21"/>
  <c r="F44" i="21"/>
  <c r="E44" i="21"/>
  <c r="F43" i="21"/>
  <c r="E43" i="21"/>
  <c r="F42" i="21"/>
  <c r="E42" i="21"/>
  <c r="F41" i="21"/>
  <c r="E41" i="21"/>
  <c r="F40" i="21"/>
  <c r="E40" i="21"/>
  <c r="J95" i="21"/>
  <c r="K95" i="21"/>
  <c r="L95" i="21"/>
  <c r="I95" i="21"/>
  <c r="F95" i="21"/>
  <c r="E95" i="21"/>
  <c r="L72" i="21"/>
  <c r="K72" i="21"/>
  <c r="J72" i="21"/>
  <c r="I72" i="21"/>
  <c r="F39" i="21"/>
  <c r="E39" i="21"/>
  <c r="E167" i="21"/>
  <c r="F167" i="21"/>
  <c r="E168" i="21"/>
  <c r="F168" i="21"/>
  <c r="E169" i="21"/>
  <c r="F169" i="21"/>
  <c r="E170" i="21"/>
  <c r="F170" i="21"/>
  <c r="E171" i="21"/>
  <c r="F171" i="21"/>
  <c r="E172" i="21"/>
  <c r="F172" i="21"/>
  <c r="K167" i="21"/>
  <c r="J167" i="21"/>
  <c r="I167" i="21"/>
  <c r="F166" i="21"/>
  <c r="E166" i="21"/>
  <c r="F214" i="21"/>
  <c r="E214" i="21"/>
  <c r="E232" i="21"/>
  <c r="F232" i="21"/>
  <c r="E233" i="21"/>
  <c r="F233" i="21"/>
  <c r="E234" i="21"/>
  <c r="F234" i="21"/>
  <c r="E235" i="21"/>
  <c r="F235" i="21"/>
  <c r="E236" i="21"/>
  <c r="F236" i="21"/>
  <c r="E237" i="21"/>
  <c r="F237" i="21"/>
  <c r="E238" i="21"/>
  <c r="F238" i="21"/>
  <c r="E239" i="21"/>
  <c r="F239" i="21"/>
  <c r="E240" i="21"/>
  <c r="F240" i="21"/>
  <c r="E241" i="21"/>
  <c r="F241" i="21"/>
  <c r="E242" i="21"/>
  <c r="F242" i="21"/>
  <c r="E243" i="21"/>
  <c r="F243" i="21"/>
  <c r="E244" i="21"/>
  <c r="F244" i="21"/>
  <c r="E245" i="21"/>
  <c r="F245" i="21"/>
  <c r="E246" i="21"/>
  <c r="F246" i="21"/>
  <c r="E247" i="21"/>
  <c r="F247" i="21"/>
  <c r="E248" i="21"/>
  <c r="F248" i="21"/>
  <c r="E249" i="21"/>
  <c r="F249" i="21"/>
  <c r="E250" i="21"/>
  <c r="F250" i="21"/>
  <c r="E251" i="21"/>
  <c r="F251" i="21"/>
  <c r="E252" i="21"/>
  <c r="F252" i="21"/>
  <c r="E253" i="21"/>
  <c r="F253" i="21"/>
  <c r="E254" i="21"/>
  <c r="F254" i="21"/>
  <c r="E255" i="21"/>
  <c r="F255" i="21"/>
  <c r="E256" i="21"/>
  <c r="F256" i="21"/>
  <c r="E257" i="21"/>
  <c r="F257" i="21"/>
  <c r="E258" i="21"/>
  <c r="F258" i="21"/>
  <c r="E259" i="21"/>
  <c r="F259" i="21"/>
  <c r="E260" i="21"/>
  <c r="F260" i="21"/>
  <c r="E261" i="21"/>
  <c r="F261" i="21"/>
  <c r="E262" i="21"/>
  <c r="F262" i="21"/>
  <c r="E263" i="21"/>
  <c r="F263" i="21"/>
  <c r="E264" i="21"/>
  <c r="F264" i="21"/>
  <c r="E265" i="21"/>
  <c r="F265" i="21"/>
  <c r="E266" i="21"/>
  <c r="F266" i="21"/>
  <c r="E267" i="21"/>
  <c r="F267" i="21"/>
  <c r="E268" i="21"/>
  <c r="F268" i="21"/>
  <c r="E269" i="21"/>
  <c r="F269" i="21"/>
  <c r="E270" i="21"/>
  <c r="F270" i="21"/>
  <c r="E271" i="21"/>
  <c r="F271" i="21"/>
  <c r="E272" i="21"/>
  <c r="F272" i="21"/>
  <c r="E273" i="21"/>
  <c r="F273" i="21"/>
  <c r="E274" i="21"/>
  <c r="F274" i="21"/>
  <c r="E275" i="21"/>
  <c r="F275" i="21"/>
  <c r="E276" i="21"/>
  <c r="F276" i="21"/>
  <c r="E277" i="21"/>
  <c r="F277" i="21"/>
  <c r="E278" i="21"/>
  <c r="F278" i="21"/>
  <c r="E279" i="21"/>
  <c r="F279" i="21"/>
  <c r="E280" i="21"/>
  <c r="F280" i="21"/>
  <c r="E281" i="21"/>
  <c r="F281" i="21"/>
  <c r="E282" i="21"/>
  <c r="F282" i="21"/>
  <c r="E283" i="21"/>
  <c r="F283" i="21"/>
  <c r="E284" i="21"/>
  <c r="F284" i="21"/>
  <c r="E285" i="21"/>
  <c r="F285" i="21"/>
  <c r="E286" i="21"/>
  <c r="F286" i="21"/>
  <c r="E287" i="21"/>
  <c r="F287" i="21"/>
  <c r="E288" i="21"/>
  <c r="F288" i="21"/>
  <c r="E289" i="21"/>
  <c r="F289" i="21"/>
  <c r="E290" i="21"/>
  <c r="F290" i="21"/>
  <c r="E291" i="21"/>
  <c r="F291" i="21"/>
  <c r="E292" i="21"/>
  <c r="F292" i="21"/>
  <c r="E293" i="21"/>
  <c r="F293" i="21"/>
  <c r="E294" i="21"/>
  <c r="F294" i="21"/>
  <c r="E295" i="21"/>
  <c r="F295" i="21"/>
  <c r="E296" i="21"/>
  <c r="F296" i="21"/>
  <c r="E297" i="21"/>
  <c r="F297" i="21"/>
  <c r="E298" i="21"/>
  <c r="F298" i="21"/>
  <c r="E299" i="21"/>
  <c r="F299" i="21"/>
  <c r="F231" i="21"/>
  <c r="E231" i="21"/>
  <c r="E156" i="21"/>
  <c r="F156" i="21"/>
  <c r="E157" i="21"/>
  <c r="F157" i="21"/>
  <c r="E158" i="21"/>
  <c r="F158" i="21"/>
  <c r="E159" i="21"/>
  <c r="F159" i="21"/>
  <c r="E160" i="21"/>
  <c r="F160" i="21"/>
  <c r="E161" i="21"/>
  <c r="F161" i="21"/>
  <c r="E162" i="21"/>
  <c r="F162" i="21"/>
  <c r="E163" i="21"/>
  <c r="F163" i="21"/>
  <c r="E164" i="21"/>
  <c r="F164" i="21"/>
  <c r="E165" i="21"/>
  <c r="F165" i="21"/>
  <c r="F155" i="21"/>
  <c r="E155" i="21"/>
  <c r="F136" i="21"/>
  <c r="E136" i="21"/>
  <c r="F135" i="21"/>
  <c r="F139" i="21"/>
  <c r="F138" i="21"/>
  <c r="F137" i="21"/>
  <c r="E135" i="21"/>
  <c r="E213" i="21"/>
  <c r="E212" i="21"/>
  <c r="E211" i="21"/>
  <c r="E210" i="21"/>
  <c r="E209" i="21"/>
  <c r="E208" i="21"/>
  <c r="E207" i="21"/>
  <c r="E206" i="21"/>
  <c r="E205" i="21"/>
  <c r="E204" i="21"/>
  <c r="E203" i="21"/>
  <c r="E202" i="21"/>
  <c r="E201" i="21"/>
  <c r="E200" i="21"/>
  <c r="E199" i="21"/>
  <c r="E198" i="21"/>
  <c r="E197" i="21"/>
  <c r="E196" i="21"/>
  <c r="E195" i="21"/>
  <c r="E194" i="21"/>
  <c r="E193" i="21"/>
  <c r="E192" i="21"/>
  <c r="E191" i="21"/>
  <c r="E190" i="21"/>
  <c r="E189" i="21"/>
  <c r="E188" i="21"/>
  <c r="E187" i="21"/>
  <c r="E186" i="21"/>
  <c r="E185" i="21"/>
  <c r="E184" i="21"/>
  <c r="E149" i="21"/>
  <c r="E139" i="21"/>
  <c r="E138" i="21"/>
  <c r="E137" i="21"/>
  <c r="E134" i="21"/>
  <c r="E133" i="21"/>
  <c r="E132" i="21"/>
  <c r="E131" i="21"/>
  <c r="E130" i="21"/>
  <c r="E129" i="21"/>
  <c r="E128" i="21"/>
  <c r="E127" i="21"/>
  <c r="E126" i="21"/>
  <c r="E125" i="21"/>
  <c r="E124" i="21"/>
  <c r="E123" i="21"/>
  <c r="E122" i="21"/>
  <c r="E121" i="21"/>
  <c r="E120" i="21"/>
  <c r="E119" i="21"/>
  <c r="E118" i="21"/>
  <c r="E117" i="21"/>
  <c r="E116" i="21"/>
  <c r="E115" i="21"/>
  <c r="E114" i="21"/>
  <c r="E113" i="21"/>
  <c r="E112" i="21"/>
  <c r="E111" i="21"/>
  <c r="E110" i="21"/>
  <c r="E109" i="21"/>
  <c r="E108" i="21"/>
  <c r="E107" i="21"/>
  <c r="E106" i="21"/>
  <c r="E105" i="21"/>
  <c r="E104" i="21"/>
  <c r="E103" i="21"/>
  <c r="E102" i="21"/>
  <c r="E101" i="21"/>
  <c r="E100" i="21"/>
  <c r="E99" i="21"/>
  <c r="E98" i="21"/>
  <c r="E97" i="21"/>
  <c r="E96" i="21"/>
  <c r="J71" i="21"/>
  <c r="K71" i="21"/>
  <c r="L71" i="21"/>
  <c r="I71" i="21"/>
  <c r="F199" i="21"/>
  <c r="F200" i="21"/>
  <c r="F201" i="21"/>
  <c r="F202" i="21"/>
  <c r="F203" i="21"/>
  <c r="F204" i="21"/>
  <c r="F205" i="21"/>
  <c r="F206" i="21"/>
  <c r="F207" i="21"/>
  <c r="F208" i="21"/>
  <c r="F209" i="21"/>
  <c r="F210" i="21"/>
  <c r="F211" i="21"/>
  <c r="F212" i="21"/>
  <c r="F213" i="21"/>
  <c r="F185" i="21"/>
  <c r="F186" i="21"/>
  <c r="F187" i="21"/>
  <c r="F188" i="21"/>
  <c r="F189" i="21"/>
  <c r="F190" i="21"/>
  <c r="F191" i="21"/>
  <c r="F192" i="21"/>
  <c r="F193" i="21"/>
  <c r="F194" i="21"/>
  <c r="F195" i="21"/>
  <c r="F196" i="21"/>
  <c r="F197" i="21"/>
  <c r="F198" i="21"/>
  <c r="F184" i="21"/>
  <c r="H87" i="19"/>
  <c r="I62" i="21"/>
  <c r="J62" i="21"/>
  <c r="K62" i="21"/>
  <c r="L62" i="21"/>
  <c r="I63" i="21"/>
  <c r="J63" i="21"/>
  <c r="K63" i="21"/>
  <c r="L63" i="21"/>
  <c r="I64" i="21"/>
  <c r="J64" i="21"/>
  <c r="K64" i="21"/>
  <c r="L64" i="21"/>
  <c r="I65" i="21"/>
  <c r="J65" i="21"/>
  <c r="K65" i="21"/>
  <c r="L65" i="21"/>
  <c r="I66" i="21"/>
  <c r="J66" i="21"/>
  <c r="K66" i="21"/>
  <c r="L66" i="21"/>
  <c r="I67" i="21"/>
  <c r="J67" i="21"/>
  <c r="K67" i="21"/>
  <c r="L67" i="21"/>
  <c r="I68" i="21"/>
  <c r="J68" i="21"/>
  <c r="K68" i="21"/>
  <c r="L68" i="21"/>
  <c r="I69" i="21"/>
  <c r="J69" i="21"/>
  <c r="K69" i="21"/>
  <c r="L69" i="21"/>
  <c r="I70" i="21"/>
  <c r="J70" i="21"/>
  <c r="K70" i="21"/>
  <c r="L70" i="21"/>
  <c r="I154" i="21"/>
  <c r="I153" i="21"/>
  <c r="K152" i="21"/>
  <c r="I151" i="21"/>
  <c r="K148" i="21"/>
  <c r="J151" i="21"/>
  <c r="J154" i="21"/>
  <c r="J153" i="21"/>
  <c r="F124" i="21"/>
  <c r="F149" i="21"/>
  <c r="F134" i="21"/>
  <c r="F133" i="21"/>
  <c r="F132" i="21"/>
  <c r="F131" i="21"/>
  <c r="F130" i="21"/>
  <c r="F129" i="21"/>
  <c r="F128" i="21"/>
  <c r="F127" i="21"/>
  <c r="F126" i="21"/>
  <c r="F125" i="21"/>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4" i="21"/>
  <c r="E94" i="21"/>
  <c r="F93" i="21"/>
  <c r="E93" i="21"/>
  <c r="F92" i="21"/>
  <c r="E92" i="21"/>
  <c r="F91" i="21"/>
  <c r="E91" i="21"/>
  <c r="F90" i="21"/>
  <c r="E90" i="21"/>
  <c r="F89" i="21"/>
  <c r="E89" i="21"/>
  <c r="F88" i="21"/>
  <c r="E88" i="21"/>
  <c r="L152" i="21"/>
  <c r="L148" i="21"/>
  <c r="N218" i="21"/>
  <c r="N236" i="21"/>
  <c r="N243" i="21"/>
  <c r="M262" i="21"/>
  <c r="N265" i="21"/>
  <c r="K272" i="21"/>
  <c r="K294" i="21"/>
  <c r="N255" i="21"/>
  <c r="J288" i="21"/>
  <c r="L246" i="21"/>
  <c r="L264" i="21"/>
  <c r="J296" i="21"/>
  <c r="J236" i="21"/>
  <c r="K263" i="21"/>
  <c r="N177" i="21"/>
  <c r="K248" i="21"/>
  <c r="K266" i="21"/>
  <c r="M272" i="21"/>
  <c r="J280" i="21"/>
  <c r="L289" i="21"/>
  <c r="M307" i="21"/>
  <c r="M315" i="21"/>
  <c r="L239" i="21"/>
  <c r="J264" i="21"/>
  <c r="L275" i="21"/>
  <c r="N288" i="21"/>
  <c r="N311" i="21"/>
  <c r="M177" i="21"/>
  <c r="K236" i="21"/>
  <c r="L241" i="21"/>
  <c r="M244" i="21"/>
  <c r="M248" i="21"/>
  <c r="J256" i="21"/>
  <c r="K260" i="21"/>
  <c r="L263" i="21"/>
  <c r="M266" i="21"/>
  <c r="N269" i="21"/>
  <c r="J274" i="21"/>
  <c r="K277" i="21"/>
  <c r="L280" i="21"/>
  <c r="M283" i="21"/>
  <c r="N289" i="21"/>
  <c r="J295" i="21"/>
  <c r="M300" i="21"/>
  <c r="M308" i="21"/>
  <c r="M238" i="21"/>
  <c r="K249" i="21"/>
  <c r="K267" i="21"/>
  <c r="M278" i="21"/>
  <c r="M289" i="21"/>
  <c r="J239" i="21"/>
  <c r="K243" i="21"/>
  <c r="K247" i="21"/>
  <c r="J262" i="21"/>
  <c r="K265" i="21"/>
  <c r="L268" i="21"/>
  <c r="M271" i="21"/>
  <c r="N275" i="21"/>
  <c r="J279" i="21"/>
  <c r="K282" i="21"/>
  <c r="L288" i="21"/>
  <c r="M293" i="21"/>
  <c r="N296" i="21"/>
  <c r="N312" i="21"/>
  <c r="M334" i="21"/>
  <c r="K241" i="21"/>
  <c r="J255" i="21"/>
  <c r="L266" i="21"/>
  <c r="M274" i="21"/>
  <c r="K284" i="21"/>
  <c r="N299" i="21"/>
  <c r="K177" i="21"/>
  <c r="N230" i="21"/>
  <c r="J241" i="21"/>
  <c r="K244" i="21"/>
  <c r="J249" i="21"/>
  <c r="L256" i="21"/>
  <c r="M260" i="21"/>
  <c r="N263" i="21"/>
  <c r="J267" i="21"/>
  <c r="K270" i="21"/>
  <c r="L274" i="21"/>
  <c r="M277" i="21"/>
  <c r="N280" i="21"/>
  <c r="J284" i="21"/>
  <c r="K292" i="21"/>
  <c r="L295" i="21"/>
  <c r="M309" i="21"/>
  <c r="J322" i="21"/>
  <c r="L283" i="21"/>
  <c r="M333" i="21"/>
  <c r="L259" i="21"/>
  <c r="N282" i="21"/>
  <c r="M314" i="21"/>
  <c r="M178" i="21"/>
  <c r="M249" i="21"/>
  <c r="J275" i="21"/>
  <c r="M284" i="21"/>
  <c r="N310" i="21"/>
  <c r="L248" i="21"/>
  <c r="N272" i="21"/>
  <c r="M295" i="21"/>
  <c r="K239" i="21"/>
  <c r="M255" i="21"/>
  <c r="J263" i="21"/>
  <c r="N276" i="21"/>
  <c r="M294" i="21"/>
  <c r="M299" i="21"/>
  <c r="N242" i="21"/>
  <c r="M265" i="21"/>
  <c r="N277" i="21"/>
  <c r="K293" i="21"/>
  <c r="N313" i="21"/>
  <c r="L178" i="21"/>
  <c r="J238" i="21"/>
  <c r="K242" i="21"/>
  <c r="K246" i="21"/>
  <c r="L249" i="21"/>
  <c r="N256" i="21"/>
  <c r="J261" i="21"/>
  <c r="K264" i="21"/>
  <c r="L267" i="21"/>
  <c r="M270" i="21"/>
  <c r="N274" i="21"/>
  <c r="J278" i="21"/>
  <c r="K281" i="21"/>
  <c r="L284" i="21"/>
  <c r="M292" i="21"/>
  <c r="N295" i="21"/>
  <c r="M310" i="21"/>
  <c r="L322" i="21"/>
  <c r="J242" i="21"/>
  <c r="J260" i="21"/>
  <c r="M269" i="21"/>
  <c r="J281" i="21"/>
  <c r="N294" i="21"/>
  <c r="N309" i="21"/>
  <c r="M230" i="21"/>
  <c r="N239" i="21"/>
  <c r="J244" i="21"/>
  <c r="J248" i="21"/>
  <c r="L255" i="21"/>
  <c r="M259" i="21"/>
  <c r="N262" i="21"/>
  <c r="J266" i="21"/>
  <c r="K269" i="21"/>
  <c r="L272" i="21"/>
  <c r="M276" i="21"/>
  <c r="N279" i="21"/>
  <c r="J283" i="21"/>
  <c r="K289" i="21"/>
  <c r="L294" i="21"/>
  <c r="N297" i="21"/>
  <c r="N314" i="21"/>
  <c r="L177" i="21"/>
  <c r="M243" i="21"/>
  <c r="K259" i="21"/>
  <c r="N268" i="21"/>
  <c r="J277" i="21"/>
  <c r="L292" i="21"/>
  <c r="J178" i="21"/>
  <c r="M236" i="21"/>
  <c r="N241" i="21"/>
  <c r="M246" i="21"/>
  <c r="N249" i="21"/>
  <c r="L261" i="21"/>
  <c r="M264" i="21"/>
  <c r="N267" i="21"/>
  <c r="J271" i="21"/>
  <c r="K275" i="21"/>
  <c r="L278" i="21"/>
  <c r="M281" i="21"/>
  <c r="N284" i="21"/>
  <c r="J293" i="21"/>
  <c r="K296" i="21"/>
  <c r="M311" i="21"/>
  <c r="N322" i="21"/>
  <c r="N307" i="21"/>
  <c r="N247" i="21"/>
  <c r="L276" i="21"/>
  <c r="M297" i="21"/>
  <c r="K276" i="21"/>
  <c r="K238" i="21"/>
  <c r="K261" i="21"/>
  <c r="N270" i="21"/>
  <c r="K278" i="21"/>
  <c r="N292" i="21"/>
  <c r="M282" i="21"/>
  <c r="L243" i="21"/>
  <c r="N259" i="21"/>
  <c r="L269" i="21"/>
  <c r="K283" i="21"/>
  <c r="K178" i="21"/>
  <c r="M247" i="21"/>
  <c r="M256" i="21"/>
  <c r="J268" i="21"/>
  <c r="K280" i="21"/>
  <c r="L296" i="21"/>
  <c r="K322" i="21"/>
  <c r="N238" i="21"/>
  <c r="J243" i="21"/>
  <c r="J247" i="21"/>
  <c r="N261" i="21"/>
  <c r="J265" i="21"/>
  <c r="K268" i="21"/>
  <c r="L271" i="21"/>
  <c r="M275" i="21"/>
  <c r="N278" i="21"/>
  <c r="J282" i="21"/>
  <c r="K288" i="21"/>
  <c r="L293" i="21"/>
  <c r="M296" i="21"/>
  <c r="M312" i="21"/>
  <c r="N333" i="21"/>
  <c r="L244" i="21"/>
  <c r="L262" i="21"/>
  <c r="J272" i="21"/>
  <c r="N281" i="21"/>
  <c r="L297" i="21"/>
  <c r="J177" i="21"/>
  <c r="L236" i="21"/>
  <c r="M241" i="21"/>
  <c r="N244" i="21"/>
  <c r="N248" i="21"/>
  <c r="K256" i="21"/>
  <c r="L260" i="21"/>
  <c r="M263" i="21"/>
  <c r="N266" i="21"/>
  <c r="J270" i="21"/>
  <c r="K274" i="21"/>
  <c r="L277" i="21"/>
  <c r="M280" i="21"/>
  <c r="N283" i="21"/>
  <c r="J292" i="21"/>
  <c r="K295" i="21"/>
  <c r="N300" i="21"/>
  <c r="N308" i="21"/>
  <c r="J246" i="21"/>
  <c r="M261" i="21"/>
  <c r="L270" i="21"/>
  <c r="L279" i="21"/>
  <c r="J294" i="21"/>
  <c r="N315" i="21"/>
  <c r="N178" i="21"/>
  <c r="L238" i="21"/>
  <c r="M242" i="21"/>
  <c r="L247" i="21"/>
  <c r="J259" i="21"/>
  <c r="K262" i="21"/>
  <c r="L265" i="21"/>
  <c r="M268" i="21"/>
  <c r="N271" i="21"/>
  <c r="J276" i="21"/>
  <c r="K279" i="21"/>
  <c r="L282" i="21"/>
  <c r="M288" i="21"/>
  <c r="N293" i="21"/>
  <c r="J297" i="21"/>
  <c r="M313" i="21"/>
  <c r="N334" i="21"/>
  <c r="N260" i="21"/>
  <c r="K271" i="21"/>
  <c r="M239" i="21"/>
  <c r="K255" i="21"/>
  <c r="J269" i="21"/>
  <c r="M279" i="21"/>
  <c r="J289" i="21"/>
  <c r="N246" i="21"/>
  <c r="N264" i="21"/>
  <c r="L242" i="21"/>
  <c r="M267" i="21"/>
  <c r="L281" i="21"/>
  <c r="M322" i="21"/>
  <c r="N219" i="21"/>
  <c r="N216" i="21"/>
  <c r="N220" i="21"/>
  <c r="N217" i="21"/>
  <c r="N221" i="21"/>
  <c r="J334" i="21"/>
  <c r="J333" i="21"/>
  <c r="L333" i="21"/>
  <c r="L334" i="21"/>
  <c r="K333" i="21"/>
  <c r="K334" i="21"/>
  <c r="M154" i="21"/>
  <c r="N154" i="21"/>
  <c r="M151" i="21"/>
  <c r="N151" i="21"/>
  <c r="M150" i="21"/>
  <c r="N150" i="21"/>
  <c r="M153" i="21"/>
  <c r="N153" i="21"/>
  <c r="M171" i="21"/>
  <c r="N171" i="21"/>
  <c r="L151" i="21"/>
  <c r="K154" i="21"/>
  <c r="K153" i="21"/>
  <c r="L171" i="21"/>
  <c r="K151" i="21"/>
  <c r="K171" i="21"/>
  <c r="L153" i="21"/>
  <c r="L154" i="21"/>
  <c r="J311" i="21"/>
  <c r="L307" i="21"/>
  <c r="L300" i="21"/>
  <c r="K302" i="21"/>
  <c r="J301" i="21"/>
  <c r="K303" i="21"/>
  <c r="K310" i="21"/>
  <c r="K313" i="21"/>
  <c r="K305" i="21"/>
  <c r="J313" i="21"/>
  <c r="L315" i="21"/>
  <c r="J230" i="21"/>
  <c r="K304" i="21"/>
  <c r="J300" i="21"/>
  <c r="L308" i="21"/>
  <c r="L230" i="21"/>
  <c r="J306" i="21"/>
  <c r="L302" i="21"/>
  <c r="L313" i="21"/>
  <c r="J299" i="21"/>
  <c r="K308" i="21"/>
  <c r="K309" i="21"/>
  <c r="L314" i="21"/>
  <c r="J302" i="21"/>
  <c r="L312" i="21"/>
  <c r="L305" i="21"/>
  <c r="J312" i="21"/>
  <c r="J303" i="21"/>
  <c r="L299" i="21"/>
  <c r="J305" i="21"/>
  <c r="L309" i="21"/>
  <c r="K307" i="21"/>
  <c r="J304" i="21"/>
  <c r="K315" i="21"/>
  <c r="J308" i="21"/>
  <c r="L310" i="21"/>
  <c r="L311" i="21"/>
  <c r="K306" i="21"/>
  <c r="L301" i="21"/>
  <c r="K311" i="21"/>
  <c r="K300" i="21"/>
  <c r="L304" i="21"/>
  <c r="K312" i="21"/>
  <c r="J309" i="21"/>
  <c r="K297" i="21"/>
  <c r="J315" i="21"/>
  <c r="K299" i="21"/>
  <c r="K314" i="21"/>
  <c r="J307" i="21"/>
  <c r="L306" i="21"/>
  <c r="K230" i="21"/>
  <c r="L303" i="21"/>
  <c r="J314" i="21"/>
  <c r="K301" i="21"/>
  <c r="J310" i="21"/>
  <c r="N319" i="21"/>
  <c r="K319" i="21"/>
  <c r="M319" i="21"/>
  <c r="L319" i="21"/>
  <c r="AB23" i="56"/>
  <c r="AC23" i="56"/>
  <c r="AD23" i="56"/>
  <c r="AC27" i="56"/>
  <c r="AD27" i="56"/>
  <c r="AB35" i="56"/>
  <c r="AC35" i="56"/>
  <c r="AD35" i="56"/>
  <c r="AC52" i="56"/>
  <c r="AD52" i="56"/>
  <c r="AC40" i="56"/>
  <c r="AD40" i="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Anas Aboukhalid</author>
  </authors>
  <commentList>
    <comment ref="CM7" authorId="0" shapeId="0" xr:uid="{00000000-0006-0000-0000-000001000000}">
      <text>
        <r>
          <rPr>
            <b/>
            <sz val="9"/>
            <color indexed="81"/>
            <rFont val="Tahoma"/>
            <family val="2"/>
          </rPr>
          <t xml:space="preserve">Week day
</t>
        </r>
      </text>
    </comment>
    <comment ref="CN7" authorId="0" shapeId="0" xr:uid="{00000000-0006-0000-0000-000002000000}">
      <text>
        <r>
          <rPr>
            <b/>
            <sz val="9"/>
            <color indexed="81"/>
            <rFont val="Tahoma"/>
            <family val="2"/>
          </rPr>
          <t>Début de la semaine</t>
        </r>
      </text>
    </comment>
    <comment ref="CR7" authorId="0" shapeId="0" xr:uid="{00000000-0006-0000-0000-000003000000}">
      <text>
        <r>
          <rPr>
            <b/>
            <sz val="9"/>
            <color indexed="81"/>
            <rFont val="Tahoma"/>
            <family val="2"/>
          </rPr>
          <t xml:space="preserve">Show weekly/daily
</t>
        </r>
      </text>
    </comment>
    <comment ref="FM7" authorId="0" shapeId="0" xr:uid="{00000000-0006-0000-0000-000004000000}">
      <text>
        <r>
          <rPr>
            <b/>
            <sz val="9"/>
            <color indexed="81"/>
            <rFont val="Tahoma"/>
            <family val="2"/>
          </rPr>
          <t>Add tasks: location</t>
        </r>
      </text>
    </comment>
    <comment ref="FP7" authorId="0" shapeId="0" xr:uid="{00000000-0006-0000-0000-000005000000}">
      <text>
        <r>
          <rPr>
            <b/>
            <sz val="9"/>
            <color indexed="81"/>
            <rFont val="Tahoma"/>
            <family val="2"/>
          </rPr>
          <t>Add tasks : header Y/N</t>
        </r>
      </text>
    </comment>
    <comment ref="FS7" authorId="0" shapeId="0" xr:uid="{00000000-0006-0000-0000-000006000000}">
      <text>
        <r>
          <rPr>
            <b/>
            <sz val="9"/>
            <color indexed="81"/>
            <rFont val="Tahoma"/>
            <family val="2"/>
          </rPr>
          <t>Number of rows</t>
        </r>
      </text>
    </comment>
    <comment ref="FT7" authorId="0" shapeId="0" xr:uid="{00000000-0006-0000-0000-000007000000}">
      <text>
        <r>
          <rPr>
            <b/>
            <sz val="9"/>
            <color indexed="81"/>
            <rFont val="Tahoma"/>
            <family val="2"/>
          </rPr>
          <t>Re-number</t>
        </r>
      </text>
    </comment>
    <comment ref="GD7" authorId="0" shapeId="0" xr:uid="{00000000-0006-0000-0000-000008000000}">
      <text>
        <r>
          <rPr>
            <b/>
            <sz val="9"/>
            <color indexed="81"/>
            <rFont val="Tahoma"/>
            <family val="2"/>
          </rPr>
          <t xml:space="preserve">Linkcell
</t>
        </r>
      </text>
    </comment>
    <comment ref="GE7" authorId="0" shapeId="0" xr:uid="{00000000-0006-0000-0000-000009000000}">
      <text>
        <r>
          <rPr>
            <b/>
            <sz val="9"/>
            <color indexed="81"/>
            <rFont val="Tahoma"/>
            <family val="2"/>
          </rPr>
          <t xml:space="preserve">Boolean
</t>
        </r>
      </text>
    </comment>
    <comment ref="GL7" authorId="0" shapeId="0" xr:uid="{00000000-0006-0000-0000-00000A000000}">
      <text>
        <r>
          <rPr>
            <b/>
            <sz val="9"/>
            <color indexed="81"/>
            <rFont val="Tahoma"/>
            <family val="2"/>
          </rPr>
          <t xml:space="preserve">Linkcell
</t>
        </r>
      </text>
    </comment>
    <comment ref="GU7" authorId="0" shapeId="0" xr:uid="{00000000-0006-0000-0000-00000B000000}">
      <text>
        <r>
          <rPr>
            <b/>
            <sz val="9"/>
            <color indexed="81"/>
            <rFont val="Tahoma"/>
            <family val="2"/>
          </rPr>
          <t xml:space="preserve">Linkcell
</t>
        </r>
      </text>
    </comment>
    <comment ref="GV7" authorId="0" shapeId="0" xr:uid="{00000000-0006-0000-0000-00000C000000}">
      <text>
        <r>
          <rPr>
            <b/>
            <sz val="9"/>
            <color indexed="81"/>
            <rFont val="Tahoma"/>
            <family val="2"/>
          </rPr>
          <t xml:space="preserve">Offset
</t>
        </r>
      </text>
    </comment>
    <comment ref="HA7" authorId="0" shapeId="0" xr:uid="{00000000-0006-0000-0000-00000D000000}">
      <text>
        <r>
          <rPr>
            <b/>
            <sz val="9"/>
            <color indexed="81"/>
            <rFont val="Tahoma"/>
            <family val="2"/>
          </rPr>
          <t xml:space="preserve">Linkcell
</t>
        </r>
      </text>
    </comment>
    <comment ref="HB7" authorId="0" shapeId="0" xr:uid="{00000000-0006-0000-0000-00000E000000}">
      <text>
        <r>
          <rPr>
            <b/>
            <sz val="9"/>
            <color indexed="81"/>
            <rFont val="Tahoma"/>
            <family val="2"/>
          </rPr>
          <t xml:space="preserve">Offset
</t>
        </r>
      </text>
    </comment>
    <comment ref="HG7" authorId="0" shapeId="0" xr:uid="{00000000-0006-0000-0000-00000F000000}">
      <text>
        <r>
          <rPr>
            <b/>
            <sz val="9"/>
            <color indexed="81"/>
            <rFont val="Tahoma"/>
            <family val="2"/>
          </rPr>
          <t xml:space="preserve">Linkcell
</t>
        </r>
      </text>
    </comment>
    <comment ref="HL7" authorId="0" shapeId="0" xr:uid="{00000000-0006-0000-0000-000010000000}">
      <text>
        <r>
          <rPr>
            <b/>
            <sz val="9"/>
            <color indexed="81"/>
            <rFont val="Tahoma"/>
            <family val="2"/>
          </rPr>
          <t xml:space="preserve">Linkcell
</t>
        </r>
      </text>
    </comment>
    <comment ref="KW7" authorId="0" shapeId="0" xr:uid="{00000000-0006-0000-0000-000011000000}">
      <text>
        <r>
          <rPr>
            <b/>
            <sz val="9"/>
            <color indexed="81"/>
            <rFont val="Tahoma"/>
            <family val="2"/>
          </rPr>
          <t>Gantt Engine
Default Colors</t>
        </r>
      </text>
    </comment>
    <comment ref="LD7" authorId="0" shapeId="0" xr:uid="{00000000-0006-0000-0000-000012000000}">
      <text>
        <r>
          <rPr>
            <b/>
            <sz val="9"/>
            <color indexed="81"/>
            <rFont val="Tahoma"/>
            <family val="2"/>
          </rPr>
          <t>CF Budget</t>
        </r>
      </text>
    </comment>
    <comment ref="LK7" authorId="0" shapeId="0" xr:uid="{00000000-0006-0000-0000-000013000000}">
      <text>
        <r>
          <rPr>
            <b/>
            <sz val="9"/>
            <color indexed="81"/>
            <rFont val="Tahoma"/>
            <family val="2"/>
          </rPr>
          <t>CF Puces rondes</t>
        </r>
      </text>
    </comment>
    <comment ref="LR7" authorId="0" shapeId="0" xr:uid="{00000000-0006-0000-0000-000014000000}">
      <text>
        <r>
          <rPr>
            <b/>
            <sz val="9"/>
            <color indexed="81"/>
            <rFont val="Tahoma"/>
            <family val="2"/>
          </rPr>
          <t>CF Flags</t>
        </r>
      </text>
    </comment>
    <comment ref="MG7" authorId="0" shapeId="0" xr:uid="{00000000-0006-0000-0000-000015000000}">
      <text>
        <r>
          <rPr>
            <b/>
            <sz val="9"/>
            <color indexed="81"/>
            <rFont val="Tahoma"/>
            <family val="2"/>
          </rPr>
          <t>Gantt Engine
One color per PIC</t>
        </r>
      </text>
    </comment>
    <comment ref="MI7" authorId="0" shapeId="0" xr:uid="{00000000-0006-0000-0000-000016000000}">
      <text>
        <r>
          <rPr>
            <b/>
            <sz val="9"/>
            <color indexed="81"/>
            <rFont val="Tahoma"/>
            <family val="2"/>
          </rPr>
          <t>Parking for later use</t>
        </r>
      </text>
    </comment>
    <comment ref="MK7" authorId="0" shapeId="0" xr:uid="{00000000-0006-0000-0000-000017000000}">
      <text>
        <r>
          <rPr>
            <b/>
            <sz val="9"/>
            <color indexed="81"/>
            <rFont val="Tahoma"/>
            <family val="2"/>
          </rPr>
          <t>Parking for later use</t>
        </r>
      </text>
    </comment>
    <comment ref="MT7" authorId="0" shapeId="0" xr:uid="{00000000-0006-0000-0000-000018000000}">
      <text>
        <r>
          <rPr>
            <b/>
            <sz val="9"/>
            <color indexed="81"/>
            <rFont val="Tahoma"/>
            <family val="2"/>
          </rPr>
          <t>Gantt Engine
Default Colors</t>
        </r>
      </text>
    </comment>
    <comment ref="NC7" authorId="0" shapeId="0" xr:uid="{00000000-0006-0000-0000-000019000000}">
      <text>
        <r>
          <rPr>
            <b/>
            <sz val="9"/>
            <color indexed="81"/>
            <rFont val="Tahoma"/>
            <family val="2"/>
          </rPr>
          <t>Gantt Engine
Default Colors</t>
        </r>
      </text>
    </comment>
    <comment ref="NL7" authorId="0" shapeId="0" xr:uid="{00000000-0006-0000-0000-00001A000000}">
      <text>
        <r>
          <rPr>
            <b/>
            <sz val="9"/>
            <color indexed="81"/>
            <rFont val="Tahoma"/>
            <family val="2"/>
          </rPr>
          <t>Gantt Engine
Default Colors</t>
        </r>
      </text>
    </comment>
    <comment ref="NU7" authorId="0" shapeId="0" xr:uid="{00000000-0006-0000-0000-00001B000000}">
      <text>
        <r>
          <rPr>
            <b/>
            <sz val="9"/>
            <color indexed="81"/>
            <rFont val="Tahoma"/>
            <family val="2"/>
          </rPr>
          <t>Gantt Engine
Default Colors</t>
        </r>
      </text>
    </comment>
    <comment ref="OB7" authorId="0" shapeId="0" xr:uid="{00000000-0006-0000-0000-00001C000000}">
      <text>
        <r>
          <rPr>
            <b/>
            <sz val="9"/>
            <color indexed="81"/>
            <rFont val="Tahoma"/>
            <family val="2"/>
          </rPr>
          <t>CF Start Date
Normalement ISFORMULA mais ne fonctionne pas avec MAC 2011</t>
        </r>
      </text>
    </comment>
    <comment ref="OI7" authorId="0" shapeId="0" xr:uid="{00000000-0006-0000-0000-00001D000000}">
      <text>
        <r>
          <rPr>
            <b/>
            <sz val="9"/>
            <color indexed="81"/>
            <rFont val="Tahoma"/>
            <family val="2"/>
          </rPr>
          <t>CF Duration</t>
        </r>
      </text>
    </comment>
    <comment ref="OQ7" authorId="0" shapeId="0" xr:uid="{00000000-0006-0000-0000-00001E000000}">
      <text>
        <r>
          <rPr>
            <b/>
            <sz val="9"/>
            <color indexed="81"/>
            <rFont val="Tahoma"/>
            <family val="2"/>
          </rPr>
          <t>Duration type cond. formatting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K31" authorId="0" shapeId="0" xr:uid="{00000000-0006-0000-0200-000001000000}">
      <text>
        <r>
          <rPr>
            <b/>
            <sz val="9"/>
            <color indexed="81"/>
            <rFont val="Tahoma"/>
            <family val="2"/>
          </rPr>
          <t xml:space="preserve">confirmer sur le error proof
</t>
        </r>
      </text>
    </comment>
  </commentList>
</comments>
</file>

<file path=xl/sharedStrings.xml><?xml version="1.0" encoding="utf-8"?>
<sst xmlns="http://schemas.openxmlformats.org/spreadsheetml/2006/main" count="4574" uniqueCount="1747">
  <si>
    <t>1.1</t>
  </si>
  <si>
    <t>Mary</t>
  </si>
  <si>
    <t>Jade</t>
  </si>
  <si>
    <t>Start Date And Bookmark</t>
    <phoneticPr fontId="13"/>
  </si>
  <si>
    <t>November</t>
  </si>
  <si>
    <t>Today</t>
  </si>
  <si>
    <t>August</t>
  </si>
  <si>
    <t>left_panel_2</t>
    <phoneticPr fontId="13"/>
  </si>
  <si>
    <t>left_panel_3</t>
  </si>
  <si>
    <t>left_panel_4</t>
  </si>
  <si>
    <t>left_panel_5</t>
  </si>
  <si>
    <t>left_panel_6</t>
  </si>
  <si>
    <t>left_panel_8</t>
  </si>
  <si>
    <t>left_panel_9</t>
  </si>
  <si>
    <t>left_panel_10</t>
  </si>
  <si>
    <t>left_panel_11</t>
  </si>
  <si>
    <t>left_panel_14</t>
  </si>
  <si>
    <t>left_panel_15</t>
  </si>
  <si>
    <t>December</t>
  </si>
  <si>
    <t>Cell Column</t>
    <phoneticPr fontId="13"/>
  </si>
  <si>
    <t>English</t>
    <phoneticPr fontId="13"/>
  </si>
  <si>
    <t>Category</t>
    <phoneticPr fontId="13"/>
  </si>
  <si>
    <t>Object Name</t>
    <phoneticPr fontId="13"/>
  </si>
  <si>
    <t>Object Type</t>
    <phoneticPr fontId="13"/>
  </si>
  <si>
    <t>Gantt Chart Titles</t>
    <phoneticPr fontId="13"/>
  </si>
  <si>
    <t>Cell</t>
    <phoneticPr fontId="13"/>
  </si>
  <si>
    <t>Leader</t>
  </si>
  <si>
    <t>Schedule</t>
  </si>
  <si>
    <t>Start</t>
  </si>
  <si>
    <t>Duration</t>
  </si>
  <si>
    <t>W.Day</t>
  </si>
  <si>
    <t>All.Days</t>
  </si>
  <si>
    <t>Due</t>
  </si>
  <si>
    <t>Budget</t>
  </si>
  <si>
    <t>Plan</t>
  </si>
  <si>
    <t>Actual</t>
  </si>
  <si>
    <t>%</t>
  </si>
  <si>
    <t>Comments</t>
  </si>
  <si>
    <t>Subtitle for additional details</t>
  </si>
  <si>
    <t>menu_txt1</t>
    <phoneticPr fontId="13"/>
  </si>
  <si>
    <t>expand4_txt</t>
  </si>
  <si>
    <t>Gantt</t>
    <phoneticPr fontId="13"/>
  </si>
  <si>
    <t>Tools</t>
    <phoneticPr fontId="13"/>
  </si>
  <si>
    <t>Tools Sheet : Holidays</t>
    <phoneticPr fontId="13"/>
  </si>
  <si>
    <t>Tools Sheet : Members</t>
    <phoneticPr fontId="13"/>
  </si>
  <si>
    <t>left_panel_7</t>
    <phoneticPr fontId="13"/>
  </si>
  <si>
    <t>left_panel_1</t>
    <phoneticPr fontId="13"/>
  </si>
  <si>
    <t xml:space="preserve">Auto </t>
  </si>
  <si>
    <t>Week Symbol</t>
  </si>
  <si>
    <t>Show Flag</t>
  </si>
  <si>
    <t>Show Comments</t>
  </si>
  <si>
    <t>Gantt_Title1</t>
    <phoneticPr fontId="13"/>
  </si>
  <si>
    <t>View</t>
  </si>
  <si>
    <t>Tools</t>
  </si>
  <si>
    <t>Team Members</t>
  </si>
  <si>
    <t>Short Name</t>
  </si>
  <si>
    <t>Full Name</t>
  </si>
  <si>
    <t>Company</t>
  </si>
  <si>
    <t>Division</t>
  </si>
  <si>
    <t>Phone</t>
  </si>
  <si>
    <t>Language Table</t>
    <phoneticPr fontId="13"/>
  </si>
  <si>
    <t>French</t>
    <phoneticPr fontId="13"/>
  </si>
  <si>
    <t>Translation Table</t>
    <phoneticPr fontId="13"/>
  </si>
  <si>
    <t>Current Language</t>
    <phoneticPr fontId="13"/>
  </si>
  <si>
    <t>cancel_full_scr1</t>
    <phoneticPr fontId="13"/>
  </si>
  <si>
    <t>Exit Full Screen</t>
  </si>
  <si>
    <t>HideValues</t>
  </si>
  <si>
    <t>January</t>
  </si>
  <si>
    <t>February</t>
  </si>
  <si>
    <t>March</t>
  </si>
  <si>
    <t>April</t>
  </si>
  <si>
    <t>May</t>
  </si>
  <si>
    <t>June</t>
  </si>
  <si>
    <t>July</t>
  </si>
  <si>
    <t>September</t>
  </si>
  <si>
    <t>October</t>
  </si>
  <si>
    <t>HideValues : First Gantt Date</t>
    <phoneticPr fontId="13"/>
  </si>
  <si>
    <t>HideValues : Working Days</t>
    <phoneticPr fontId="13"/>
  </si>
  <si>
    <t>This operation will only hides the budget columns.</t>
  </si>
  <si>
    <t>Please clear all related fields according to your confidentiality policy.</t>
  </si>
  <si>
    <t>Confidentiality Warning</t>
  </si>
  <si>
    <t>Title</t>
    <phoneticPr fontId="13"/>
  </si>
  <si>
    <t>HideValues : VBA Budget Warning</t>
    <phoneticPr fontId="13"/>
  </si>
  <si>
    <t>HideValues</t>
    <phoneticPr fontId="13"/>
  </si>
  <si>
    <t>Select the date that will be shown with a red line in the gantt chart</t>
    <phoneticPr fontId="13"/>
  </si>
  <si>
    <t>Email</t>
    <phoneticPr fontId="13"/>
  </si>
  <si>
    <t>First Time Tag</t>
    <phoneticPr fontId="13"/>
  </si>
  <si>
    <t>Arbeitstage</t>
  </si>
  <si>
    <t>Dauer</t>
  </si>
  <si>
    <t>Hilfe</t>
  </si>
  <si>
    <t>Vollständiger Name</t>
  </si>
  <si>
    <t>Telefon</t>
  </si>
  <si>
    <t>Por favor, elimine toda la información sensible para cumplir con su política de privacidad interna.</t>
  </si>
  <si>
    <t>Spanish</t>
    <phoneticPr fontId="13"/>
  </si>
  <si>
    <t>German</t>
    <phoneticPr fontId="13"/>
  </si>
  <si>
    <t>Veuillez choisir les jours ouvrés qui s'appliquent à votre projet</t>
    <phoneticPr fontId="13"/>
  </si>
  <si>
    <t>Sprache</t>
    <phoneticPr fontId="13"/>
  </si>
  <si>
    <t xml:space="preserve">Si vous avez reçu ce fichier d'une tierce personne et souhaitez l'utiliser pour vos projets, nous vous invitons à acquérir votre copie personnelle.
</t>
    <phoneticPr fontId="13"/>
  </si>
  <si>
    <t>Gantt : Get Pro</t>
    <phoneticPr fontId="13"/>
  </si>
  <si>
    <t>get_pro_txt2</t>
  </si>
  <si>
    <t>get_pro_txt3</t>
  </si>
  <si>
    <t>get_pro_txt4</t>
  </si>
  <si>
    <t>get_pro_txt5</t>
  </si>
  <si>
    <t>Starting Date</t>
    <phoneticPr fontId="13"/>
  </si>
  <si>
    <t>Message de confidentialité</t>
    <phoneticPr fontId="13"/>
  </si>
  <si>
    <t>Date de départ</t>
    <phoneticPr fontId="13"/>
  </si>
  <si>
    <t>Zeitplan</t>
    <phoneticPr fontId="13"/>
  </si>
  <si>
    <t>Échéance</t>
    <phoneticPr fontId="13"/>
  </si>
  <si>
    <t>Line 1</t>
    <phoneticPr fontId="13"/>
  </si>
  <si>
    <r>
      <t>Line 2</t>
    </r>
    <r>
      <rPr>
        <sz val="11"/>
        <color theme="1"/>
        <rFont val="Calibri"/>
        <family val="2"/>
        <charset val="128"/>
        <scheme val="minor"/>
      </rPr>
      <t/>
    </r>
  </si>
  <si>
    <t>Working Days</t>
    <phoneticPr fontId="13"/>
  </si>
  <si>
    <t>Weeks Name</t>
    <phoneticPr fontId="13"/>
  </si>
  <si>
    <t>Option 2</t>
  </si>
  <si>
    <t>Option 3</t>
  </si>
  <si>
    <t>Budget Warning Message (VBA)</t>
    <phoneticPr fontId="13"/>
  </si>
  <si>
    <t>First Time Used</t>
    <phoneticPr fontId="13"/>
  </si>
  <si>
    <t>Counter</t>
    <phoneticPr fontId="13"/>
  </si>
  <si>
    <t>Optionnel</t>
    <phoneticPr fontId="13"/>
  </si>
  <si>
    <t xml:space="preserve">Reminder to enable macros at start-up </t>
    <phoneticPr fontId="13"/>
  </si>
  <si>
    <t>This feature is not available in the free version of the Excel Gantt Chart Maker.</t>
  </si>
  <si>
    <t>Cette fonctionnalité n'est pas disponible dans la version gratuite du Excel Gantt Chart Maker.</t>
  </si>
  <si>
    <t>Send By Email Warning Message (VBA)</t>
  </si>
  <si>
    <t>Email Subject</t>
  </si>
  <si>
    <t>Tile</t>
  </si>
  <si>
    <t>Warning</t>
  </si>
  <si>
    <t>[Confidential] Latest update of project schedule</t>
  </si>
  <si>
    <t>Would you like to pre-fill the recipients from the Project Members List ?</t>
  </si>
  <si>
    <t>Pre-fill the recipients</t>
  </si>
  <si>
    <t>HideValues : VBA Send by email</t>
  </si>
  <si>
    <t>[ Confidencial ] Última actualización del cronograma del proyecto</t>
  </si>
  <si>
    <t>[Confidentiel ] Dernière mise à jour du planning projet</t>
  </si>
  <si>
    <t>Souhaiteriez-vous pré-remplir les destinataires depuis la liste des membres du projet ?</t>
  </si>
  <si>
    <t>Pré-remplir les destinataires</t>
  </si>
  <si>
    <t>Option 1</t>
    <phoneticPr fontId="13"/>
  </si>
  <si>
    <t>CW</t>
    <phoneticPr fontId="2" type="noConversion"/>
  </si>
  <si>
    <t>W</t>
    <phoneticPr fontId="2" type="noConversion"/>
  </si>
  <si>
    <t>S</t>
    <phoneticPr fontId="2" type="noConversion"/>
  </si>
  <si>
    <t>get_pro_txt1</t>
  </si>
  <si>
    <t>Plus tard</t>
  </si>
  <si>
    <t>Progress</t>
  </si>
  <si>
    <t>Week-End Days</t>
  </si>
  <si>
    <t>Sunday only</t>
  </si>
  <si>
    <t>Monday only</t>
  </si>
  <si>
    <t>Tuesday only</t>
  </si>
  <si>
    <t>Wednesday only</t>
  </si>
  <si>
    <t>Thursday only</t>
  </si>
  <si>
    <t>Friday only</t>
  </si>
  <si>
    <t>Saturday only</t>
  </si>
  <si>
    <t>Saturday, Sunday</t>
  </si>
  <si>
    <t>Sunday, Monday</t>
  </si>
  <si>
    <t>Monday, Tuesday</t>
  </si>
  <si>
    <t>Tuesday, Wednesday</t>
  </si>
  <si>
    <t>Wednesday, Thursday</t>
  </si>
  <si>
    <t>Thursday, Friday</t>
  </si>
  <si>
    <t>Friday, Saturday</t>
  </si>
  <si>
    <t>Samstag, Sonntag</t>
  </si>
  <si>
    <t>Sonntag, Montag</t>
  </si>
  <si>
    <t>Montag, Dienstag</t>
  </si>
  <si>
    <t>Dienstag, Mittwoch</t>
  </si>
  <si>
    <t>Mittwoch, Donnerstag</t>
  </si>
  <si>
    <t>Donnerstag, Freitag</t>
  </si>
  <si>
    <t>Freitag, Samstag</t>
  </si>
  <si>
    <t>Domingo, Lunes</t>
  </si>
  <si>
    <t>Martes, Miércoles</t>
  </si>
  <si>
    <t>Miércoles, Jueves</t>
  </si>
  <si>
    <t>Sólo el Domingo</t>
  </si>
  <si>
    <t>Sólo el Martes</t>
  </si>
  <si>
    <t>Sólo el Miércoles</t>
  </si>
  <si>
    <t>Sólo el Jueves</t>
  </si>
  <si>
    <t>Sólo el Viernes</t>
  </si>
  <si>
    <t>Sólo el Sábado</t>
  </si>
  <si>
    <t>Sábado, Domingo</t>
  </si>
  <si>
    <t>Lunes, Martes</t>
  </si>
  <si>
    <t>Jueves, Viernes</t>
  </si>
  <si>
    <t>Viernes, Sábado</t>
  </si>
  <si>
    <t>sólo de Lunes</t>
  </si>
  <si>
    <t>First Day of the Week</t>
  </si>
  <si>
    <t>Lundi</t>
  </si>
  <si>
    <t>Mardi</t>
  </si>
  <si>
    <t>Mercredi</t>
  </si>
  <si>
    <t>Jeudi</t>
  </si>
  <si>
    <t>Vendredi</t>
  </si>
  <si>
    <t>Samedi</t>
  </si>
  <si>
    <t>Dimanche</t>
  </si>
  <si>
    <t>Monday</t>
  </si>
  <si>
    <t>Tuesday</t>
  </si>
  <si>
    <t>Montag</t>
  </si>
  <si>
    <t>Dienstag</t>
  </si>
  <si>
    <t>Mittwoch</t>
  </si>
  <si>
    <t>Donnerstag</t>
  </si>
  <si>
    <t>Freitag</t>
  </si>
  <si>
    <t>Samstag</t>
  </si>
  <si>
    <t>Sonntag</t>
  </si>
  <si>
    <t>Wednesday</t>
  </si>
  <si>
    <t>Thursday</t>
  </si>
  <si>
    <t>Friday</t>
  </si>
  <si>
    <t>Saturday</t>
  </si>
  <si>
    <t>Sunday</t>
  </si>
  <si>
    <t>left_panel_17</t>
  </si>
  <si>
    <t>left_panel_18</t>
  </si>
  <si>
    <t>Weekend days:</t>
  </si>
  <si>
    <t>First day of the week:</t>
  </si>
  <si>
    <t>Premier jour de semaine:</t>
  </si>
  <si>
    <t>Jours de week-end:</t>
  </si>
  <si>
    <t>Erster Tag der Woche:</t>
  </si>
  <si>
    <t>Días de fin de semana:</t>
  </si>
  <si>
    <t>Primer día de la semana:</t>
  </si>
  <si>
    <t>Working Days Only</t>
  </si>
  <si>
    <t>Jours ouvrés uniquement</t>
  </si>
  <si>
    <t>Weekend travaillé</t>
  </si>
  <si>
    <t>help_txt7</t>
  </si>
  <si>
    <t>Enquête de satisfaction</t>
  </si>
  <si>
    <t>Hyper Link: Link to survey (from menu)</t>
  </si>
  <si>
    <t>Lien vers survey</t>
  </si>
  <si>
    <t>Cell</t>
  </si>
  <si>
    <t>Sheet</t>
    <phoneticPr fontId="13"/>
  </si>
  <si>
    <r>
      <t>L</t>
    </r>
    <r>
      <rPr>
        <sz val="10"/>
        <rFont val="Arial"/>
      </rPr>
      <t>eft Panel</t>
    </r>
  </si>
  <si>
    <r>
      <t>T</t>
    </r>
    <r>
      <rPr>
        <sz val="10"/>
        <rFont val="Arial"/>
      </rPr>
      <t>ext Box</t>
    </r>
  </si>
  <si>
    <t>Select the starting date of the gantt chart</t>
    <phoneticPr fontId="13"/>
  </si>
  <si>
    <t>Veuillez choisir la date à laquelle le diagramme doit démarrer</t>
    <phoneticPr fontId="13"/>
  </si>
  <si>
    <t>Aujourd'hui</t>
    <phoneticPr fontId="13"/>
  </si>
  <si>
    <t>Automatique</t>
    <phoneticPr fontId="13"/>
  </si>
  <si>
    <t>Working Days</t>
    <phoneticPr fontId="13"/>
  </si>
  <si>
    <t>Jours ouvrés</t>
    <phoneticPr fontId="13"/>
  </si>
  <si>
    <t>Select the working days that apply for your project</t>
    <phoneticPr fontId="13"/>
  </si>
  <si>
    <t>Préfixe des semaines</t>
    <phoneticPr fontId="13"/>
  </si>
  <si>
    <t>Woche Symbol</t>
    <phoneticPr fontId="13"/>
  </si>
  <si>
    <t>Select how to display week numbers</t>
    <phoneticPr fontId="13"/>
  </si>
  <si>
    <t>Veuillez choisir le préfixe utilisé pour les numéros de semaines</t>
    <phoneticPr fontId="13"/>
  </si>
  <si>
    <t>Optional</t>
    <phoneticPr fontId="13"/>
  </si>
  <si>
    <t>Kommentare anzeigen</t>
    <phoneticPr fontId="13"/>
  </si>
  <si>
    <t>left_panel_16</t>
    <phoneticPr fontId="13"/>
  </si>
  <si>
    <t>Planning</t>
    <phoneticPr fontId="13"/>
  </si>
  <si>
    <t>Resp.</t>
    <phoneticPr fontId="13"/>
  </si>
  <si>
    <t>Début</t>
    <phoneticPr fontId="13"/>
  </si>
  <si>
    <t>Durée</t>
    <phoneticPr fontId="13"/>
  </si>
  <si>
    <t>Normal</t>
    <phoneticPr fontId="13"/>
  </si>
  <si>
    <t>Statut</t>
    <phoneticPr fontId="13"/>
  </si>
  <si>
    <t>Budget</t>
    <phoneticPr fontId="13"/>
  </si>
  <si>
    <t>Estim.</t>
    <phoneticPr fontId="13"/>
  </si>
  <si>
    <t>Réel</t>
    <phoneticPr fontId="13"/>
  </si>
  <si>
    <t>%</t>
    <phoneticPr fontId="13"/>
  </si>
  <si>
    <t>Commentaires</t>
    <phoneticPr fontId="13"/>
  </si>
  <si>
    <t>Kommentare</t>
    <phoneticPr fontId="13"/>
  </si>
  <si>
    <t>Nom du projet</t>
    <phoneticPr fontId="13"/>
  </si>
  <si>
    <r>
      <t>Gantt_Title</t>
    </r>
    <r>
      <rPr>
        <sz val="10"/>
        <rFont val="Arial"/>
      </rPr>
      <t>2</t>
    </r>
  </si>
  <si>
    <t>Sous-titre pour plus de détails</t>
    <phoneticPr fontId="13"/>
  </si>
  <si>
    <t>Affichage</t>
    <phoneticPr fontId="13"/>
  </si>
  <si>
    <t>À propos</t>
    <phoneticPr fontId="13"/>
  </si>
  <si>
    <t>menu_txt5</t>
    <phoneticPr fontId="13"/>
  </si>
  <si>
    <t>Language</t>
  </si>
  <si>
    <t>Langue</t>
  </si>
  <si>
    <t>Quotidien</t>
    <phoneticPr fontId="13"/>
  </si>
  <si>
    <t>Quitter le plein écran</t>
    <phoneticPr fontId="13"/>
  </si>
  <si>
    <t>If you received this file from a third party and would like to use it for your own projects, we invite you to purchase your personal copy.</t>
    <phoneticPr fontId="13"/>
  </si>
  <si>
    <t>Upgrade to PRO  today !</t>
    <phoneticPr fontId="13"/>
  </si>
  <si>
    <t>Equipe projet</t>
    <phoneticPr fontId="13"/>
  </si>
  <si>
    <t>Diminutif</t>
    <phoneticPr fontId="13"/>
  </si>
  <si>
    <t>Nom complet</t>
    <phoneticPr fontId="13"/>
  </si>
  <si>
    <t>Entreprise</t>
    <phoneticPr fontId="13"/>
  </si>
  <si>
    <t>Division</t>
    <phoneticPr fontId="13"/>
  </si>
  <si>
    <t>Téléphone</t>
    <phoneticPr fontId="13"/>
  </si>
  <si>
    <t>Janvier</t>
    <phoneticPr fontId="13"/>
  </si>
  <si>
    <t>Januar</t>
    <phoneticPr fontId="13"/>
  </si>
  <si>
    <t>Février</t>
    <phoneticPr fontId="13"/>
  </si>
  <si>
    <t>Februar</t>
    <phoneticPr fontId="13"/>
  </si>
  <si>
    <t>Mars</t>
    <phoneticPr fontId="13"/>
  </si>
  <si>
    <t>März</t>
    <phoneticPr fontId="13"/>
  </si>
  <si>
    <t>Avril</t>
    <phoneticPr fontId="13"/>
  </si>
  <si>
    <t>April</t>
    <phoneticPr fontId="13"/>
  </si>
  <si>
    <t>Mai</t>
    <phoneticPr fontId="13"/>
  </si>
  <si>
    <t>Juin</t>
    <phoneticPr fontId="13"/>
  </si>
  <si>
    <t>Juni</t>
    <phoneticPr fontId="13"/>
  </si>
  <si>
    <t>Juillet</t>
    <phoneticPr fontId="13"/>
  </si>
  <si>
    <t>Juli</t>
    <phoneticPr fontId="13"/>
  </si>
  <si>
    <t>Août</t>
    <phoneticPr fontId="13"/>
  </si>
  <si>
    <t>August</t>
    <phoneticPr fontId="13"/>
  </si>
  <si>
    <t>Septembre</t>
    <phoneticPr fontId="13"/>
  </si>
  <si>
    <t>September</t>
    <phoneticPr fontId="13"/>
  </si>
  <si>
    <t>Octobre</t>
    <phoneticPr fontId="13"/>
  </si>
  <si>
    <t>Oktober</t>
    <phoneticPr fontId="13"/>
  </si>
  <si>
    <t>Novembre</t>
    <phoneticPr fontId="13"/>
  </si>
  <si>
    <t>November</t>
    <phoneticPr fontId="13"/>
  </si>
  <si>
    <t>Décembre</t>
    <phoneticPr fontId="13"/>
  </si>
  <si>
    <t>Dezember</t>
    <phoneticPr fontId="13"/>
  </si>
  <si>
    <t>Cette opération ne fera que masquer les colonnes liées au budget.</t>
    <phoneticPr fontId="13"/>
  </si>
  <si>
    <t>Veuillez supprimer toutes les informations sensibles afin de respecter votre politique de confidentialité interne.</t>
    <phoneticPr fontId="13"/>
  </si>
  <si>
    <t>Free Version</t>
    <phoneticPr fontId="13"/>
  </si>
  <si>
    <t>Version Gratuite</t>
    <phoneticPr fontId="13"/>
  </si>
  <si>
    <t>Download the PRO version and discover exclusive features.</t>
    <phoneticPr fontId="13"/>
  </si>
  <si>
    <t>Téléchargez la version PRO et découvrez une multitudes de fonctions exclusives.</t>
    <phoneticPr fontId="13"/>
  </si>
  <si>
    <t>Später</t>
    <phoneticPr fontId="13"/>
  </si>
  <si>
    <t>Hyper Link: About - Blog</t>
    <phoneticPr fontId="13"/>
  </si>
  <si>
    <t>Hyperlink</t>
    <phoneticPr fontId="13"/>
  </si>
  <si>
    <t>about_txt5</t>
    <phoneticPr fontId="13"/>
  </si>
  <si>
    <t>http://ammaranass.polldaddy.com/s/satisfactionsurvey</t>
  </si>
  <si>
    <t>http://ammaranass.polldaddy.com/s/enquete-de-satisfaction</t>
  </si>
  <si>
    <t>Hyper Link: About - Get your copy</t>
    <phoneticPr fontId="13"/>
  </si>
  <si>
    <t>about_txt10</t>
    <phoneticPr fontId="13"/>
  </si>
  <si>
    <t>Hyper Link: Help - Support</t>
    <phoneticPr fontId="13"/>
  </si>
  <si>
    <t>help_txt3</t>
    <phoneticPr fontId="13"/>
  </si>
  <si>
    <t>Hyper Link: Upgrade to pro pop up - Upgrade</t>
    <phoneticPr fontId="13"/>
  </si>
  <si>
    <t>get_pro_txt4</t>
    <phoneticPr fontId="13"/>
  </si>
  <si>
    <t>Hyper Link: About - Upgrade to pro</t>
    <phoneticPr fontId="13"/>
  </si>
  <si>
    <t>about_txt9</t>
    <phoneticPr fontId="13"/>
  </si>
  <si>
    <t>Samedi, dimanche</t>
  </si>
  <si>
    <t>Dimanche, lundi</t>
  </si>
  <si>
    <t>Lundi, mardi</t>
  </si>
  <si>
    <t>Mardi, mercredi</t>
  </si>
  <si>
    <t>Mercredi, jeudi</t>
  </si>
  <si>
    <t>Jeudi, vendredi</t>
  </si>
  <si>
    <t>Vendredi, samedi</t>
  </si>
  <si>
    <t>Dimanche uniquement</t>
  </si>
  <si>
    <t>Lundi uniquement</t>
  </si>
  <si>
    <t>Mardi uniquement</t>
  </si>
  <si>
    <t>Mercredi uniquement</t>
  </si>
  <si>
    <t>Jeudi uniquement</t>
  </si>
  <si>
    <t>Vendredi uniquement</t>
  </si>
  <si>
    <t>Samedi uniquement</t>
  </si>
  <si>
    <t>Lunes</t>
  </si>
  <si>
    <t>Martes</t>
  </si>
  <si>
    <t>Miércoles</t>
  </si>
  <si>
    <t>Jueves</t>
  </si>
  <si>
    <t>Viernes</t>
  </si>
  <si>
    <t>Sábado</t>
  </si>
  <si>
    <t>Domingo</t>
  </si>
  <si>
    <t>Lundi (ISO 8601)</t>
  </si>
  <si>
    <t>Monday (ISO 8601)</t>
  </si>
  <si>
    <t>Lunes (ISO 8601)</t>
  </si>
  <si>
    <t>Montag (ISO 8601)</t>
  </si>
  <si>
    <t>Left Panel</t>
  </si>
  <si>
    <t>Text Box</t>
  </si>
  <si>
    <t>Project Title</t>
  </si>
  <si>
    <t>Símbolo de semana</t>
  </si>
  <si>
    <t>Opcional</t>
  </si>
  <si>
    <t>Los días hábiles</t>
  </si>
  <si>
    <t>Todos los Días</t>
  </si>
  <si>
    <t>Estimado</t>
  </si>
  <si>
    <t xml:space="preserve">Subtítulos para detalles adicionales </t>
  </si>
  <si>
    <t>Acerca de</t>
  </si>
  <si>
    <t>Si ha recibido este archivo de alguien y quiere usarlo para sus propios proyectos, puede comprar su copia personal.</t>
  </si>
  <si>
    <t>Actualice a la versión PRO hoy</t>
  </si>
  <si>
    <t>Días feriados y vacaciones</t>
  </si>
  <si>
    <t>Nombre corto</t>
  </si>
  <si>
    <t>Nombre completo</t>
  </si>
  <si>
    <t>Empresa</t>
  </si>
  <si>
    <t>Sólo días hábiles</t>
  </si>
  <si>
    <t>todos los días</t>
  </si>
  <si>
    <t>Esta operación sólo oculta las columnas relacionadas con el presupuesto.</t>
  </si>
  <si>
    <t>Advertencia de privacidad</t>
  </si>
  <si>
    <t>Completar automaticamente los destinatarios</t>
  </si>
  <si>
    <t>¿Quiere completar automaticamente los destinatarios de la lista de los miembros del proyecto ?</t>
  </si>
  <si>
    <t>Con la versión beta gratuita, no puede exceder las 100 filas.</t>
  </si>
  <si>
    <t>Versión gratuita</t>
  </si>
  <si>
    <t>Esta característica no se ofrece en la versión gratuita del Excel Gantt Chart Maker.</t>
  </si>
  <si>
    <t>Descargue la versión PRO y descubra las características exclusivas.</t>
  </si>
  <si>
    <t>Spanish</t>
    <phoneticPr fontId="0"/>
  </si>
  <si>
    <t>Fecha de inicio</t>
    <phoneticPr fontId="0"/>
  </si>
  <si>
    <t>Hoy</t>
    <phoneticPr fontId="0"/>
  </si>
  <si>
    <t>Automático</t>
    <phoneticPr fontId="0"/>
  </si>
  <si>
    <t>Días hábiles</t>
    <phoneticPr fontId="0"/>
  </si>
  <si>
    <t>Seleccione la presentación de números de la semana</t>
    <phoneticPr fontId="0"/>
  </si>
  <si>
    <t>Mostrar comentarios</t>
    <phoneticPr fontId="0"/>
  </si>
  <si>
    <t>Horario</t>
    <phoneticPr fontId="0"/>
  </si>
  <si>
    <t>Líder</t>
    <phoneticPr fontId="0"/>
  </si>
  <si>
    <t>Comienzo</t>
    <phoneticPr fontId="0"/>
  </si>
  <si>
    <t>Duración</t>
    <phoneticPr fontId="0"/>
  </si>
  <si>
    <t xml:space="preserve">Terminación </t>
    <phoneticPr fontId="0"/>
  </si>
  <si>
    <t>Estado</t>
    <phoneticPr fontId="0"/>
  </si>
  <si>
    <t>Presupuesto</t>
    <phoneticPr fontId="0"/>
  </si>
  <si>
    <t>Real</t>
    <phoneticPr fontId="0"/>
  </si>
  <si>
    <t>%</t>
    <phoneticPr fontId="0"/>
  </si>
  <si>
    <t>Comentarios</t>
    <phoneticPr fontId="0"/>
  </si>
  <si>
    <t>Nombre del proyecto</t>
    <phoneticPr fontId="0"/>
  </si>
  <si>
    <t>Vista</t>
    <phoneticPr fontId="0"/>
  </si>
  <si>
    <t>Idioma</t>
    <phoneticPr fontId="0"/>
  </si>
  <si>
    <t>Salir de pantalla completa</t>
    <phoneticPr fontId="0"/>
  </si>
  <si>
    <t>Equipo del proyecto</t>
    <phoneticPr fontId="0"/>
  </si>
  <si>
    <t>División</t>
    <phoneticPr fontId="0"/>
  </si>
  <si>
    <t>Teléfono</t>
    <phoneticPr fontId="0"/>
  </si>
  <si>
    <t>Enero</t>
    <phoneticPr fontId="0"/>
  </si>
  <si>
    <t>Febrero</t>
    <phoneticPr fontId="0"/>
  </si>
  <si>
    <t>Marzo</t>
    <phoneticPr fontId="0"/>
  </si>
  <si>
    <t>Abril</t>
    <phoneticPr fontId="0"/>
  </si>
  <si>
    <t>Mayo</t>
    <phoneticPr fontId="0"/>
  </si>
  <si>
    <t>Junio</t>
    <phoneticPr fontId="0"/>
  </si>
  <si>
    <t>Julio</t>
    <phoneticPr fontId="0"/>
  </si>
  <si>
    <t>Agosto</t>
    <phoneticPr fontId="0"/>
  </si>
  <si>
    <t>Septiembre</t>
    <phoneticPr fontId="0"/>
  </si>
  <si>
    <t>Octubre</t>
    <phoneticPr fontId="0"/>
  </si>
  <si>
    <t>Noviembre</t>
    <phoneticPr fontId="0"/>
  </si>
  <si>
    <t>Diciembre</t>
    <phoneticPr fontId="0"/>
  </si>
  <si>
    <t>Más tarde</t>
    <phoneticPr fontId="0"/>
  </si>
  <si>
    <t>Mensuel</t>
  </si>
  <si>
    <t>Monatlich</t>
  </si>
  <si>
    <r>
      <t xml:space="preserve">Gantt Chart Titles </t>
    </r>
    <r>
      <rPr>
        <b/>
        <sz val="10"/>
        <rFont val="Arial"/>
        <family val="2"/>
      </rPr>
      <t>(monthly</t>
    </r>
    <r>
      <rPr>
        <sz val="10"/>
        <rFont val="Arial"/>
      </rPr>
      <t xml:space="preserve"> view)</t>
    </r>
  </si>
  <si>
    <t>Version</t>
  </si>
  <si>
    <t>Location:</t>
  </si>
  <si>
    <t>ADD</t>
  </si>
  <si>
    <t>Below the last row</t>
  </si>
  <si>
    <t>Above the selected row</t>
  </si>
  <si>
    <t>Below the selected row</t>
  </si>
  <si>
    <t>Include task header</t>
  </si>
  <si>
    <t>Añadir tareas</t>
  </si>
  <si>
    <t>Por debajo de la selección</t>
  </si>
  <si>
    <t>Por encima de la selección</t>
  </si>
  <si>
    <t>Incluir un encabezado</t>
  </si>
  <si>
    <t>Nombre de lignes:</t>
  </si>
  <si>
    <t>Position:</t>
  </si>
  <si>
    <t>AJOUTER</t>
  </si>
  <si>
    <t>Après la dernière ligne</t>
  </si>
  <si>
    <t>En-dessous de la sélection</t>
  </si>
  <si>
    <t>Au-dessus de la sélection</t>
  </si>
  <si>
    <t>Inclure l'en-tête</t>
  </si>
  <si>
    <t>PC</t>
  </si>
  <si>
    <t>MAC</t>
  </si>
  <si>
    <t>Pictures to adapt between PC and MAC</t>
  </si>
  <si>
    <t>Sheet</t>
  </si>
  <si>
    <t>Gantt</t>
  </si>
  <si>
    <t>PC-start</t>
  </si>
  <si>
    <t>PC-bookmark</t>
  </si>
  <si>
    <t>PC-today</t>
  </si>
  <si>
    <t>PC-auto</t>
  </si>
  <si>
    <t>PC-workingdays</t>
  </si>
  <si>
    <t>PC-weeksymbol</t>
  </si>
  <si>
    <t>PC-optional</t>
  </si>
  <si>
    <t>PC-title</t>
  </si>
  <si>
    <t>PC-view</t>
  </si>
  <si>
    <t>PC-tools</t>
  </si>
  <si>
    <t>PC-languages</t>
  </si>
  <si>
    <t>PC-vacations</t>
  </si>
  <si>
    <t>PC-team</t>
  </si>
  <si>
    <t>PC-macro</t>
  </si>
  <si>
    <t>mac-start</t>
  </si>
  <si>
    <t>mac-bookmark</t>
  </si>
  <si>
    <t>mac-today</t>
  </si>
  <si>
    <t>mac-auto</t>
  </si>
  <si>
    <t>mac-workingdays</t>
  </si>
  <si>
    <t>mac-weeksymbol</t>
  </si>
  <si>
    <t>mac-optional</t>
  </si>
  <si>
    <t>mac-title</t>
  </si>
  <si>
    <t>mac-view</t>
  </si>
  <si>
    <t>mac-tools</t>
  </si>
  <si>
    <t>mac-languages</t>
  </si>
  <si>
    <t>mac-vacations</t>
  </si>
  <si>
    <t>mac-team</t>
  </si>
  <si>
    <t>mac-macro</t>
  </si>
  <si>
    <t>Simulate MAC</t>
  </si>
  <si>
    <t>MAC = 1
PC or AUTO = 0</t>
  </si>
  <si>
    <t>Seleccione la fecha que se mostrará con una línea roja en el gráfico</t>
  </si>
  <si>
    <t>Seleccione los días hábiles que aplican para su proyecto</t>
  </si>
  <si>
    <t>Mostrar marcas</t>
  </si>
  <si>
    <t>Recordatorio para habilitar las macros al comenzar</t>
  </si>
  <si>
    <t>Début Recalculé</t>
  </si>
  <si>
    <t>Fin Recalculée</t>
  </si>
  <si>
    <t>Recalculated start</t>
  </si>
  <si>
    <t>Recalculated end</t>
  </si>
  <si>
    <t>Options:</t>
  </si>
  <si>
    <t>Numéroter la série</t>
  </si>
  <si>
    <t>Opciones:</t>
  </si>
  <si>
    <t>Optionen:</t>
  </si>
  <si>
    <t>Note interne</t>
  </si>
  <si>
    <t>Build</t>
  </si>
  <si>
    <t>Date</t>
  </si>
  <si>
    <t>Avec la version STARTER, vous ne pouvez pas dépasser 100 lignes.</t>
  </si>
  <si>
    <t>get_pro_txt6</t>
  </si>
  <si>
    <t>get_pro_txt7</t>
  </si>
  <si>
    <t>Téléchargez la version PRO pour lever cette limitation et découvrir une multitudes d'autres  fonctions exclusives.</t>
  </si>
  <si>
    <t>Download the PRO version in order to remove this limitation and discover other exclusive features.</t>
  </si>
  <si>
    <t>get_pro_txt8</t>
  </si>
  <si>
    <t>Daily</t>
  </si>
  <si>
    <t>Aide</t>
  </si>
  <si>
    <t>0</t>
  </si>
  <si>
    <t>0.1</t>
  </si>
  <si>
    <t>0.2</t>
  </si>
  <si>
    <t>Week-End Flag</t>
  </si>
  <si>
    <t>Leader's List</t>
  </si>
  <si>
    <t>Drop List Start Date</t>
  </si>
  <si>
    <t>Day</t>
  </si>
  <si>
    <t>Month</t>
  </si>
  <si>
    <t>Year</t>
  </si>
  <si>
    <t>Start Date (Fusion)</t>
  </si>
  <si>
    <t>Start Date (Daily)</t>
  </si>
  <si>
    <t>Start Date (Weekly)</t>
  </si>
  <si>
    <t>Red Bookmark</t>
  </si>
  <si>
    <t>First Day Today</t>
  </si>
  <si>
    <t>First Day Lowest</t>
  </si>
  <si>
    <t>Options Add Tasks</t>
  </si>
  <si>
    <t>Work Days Only</t>
  </si>
  <si>
    <t>Weeks Name</t>
  </si>
  <si>
    <t>First day week</t>
  </si>
  <si>
    <t>WE days</t>
  </si>
  <si>
    <t>Comment</t>
  </si>
  <si>
    <t>Days</t>
  </si>
  <si>
    <t>Months</t>
  </si>
  <si>
    <t>Years</t>
  </si>
  <si>
    <t>Task</t>
  </si>
  <si>
    <t>Sub-Task</t>
  </si>
  <si>
    <t>Context menu</t>
  </si>
  <si>
    <t>GANTT MENU</t>
  </si>
  <si>
    <t>Insert...</t>
  </si>
  <si>
    <t>Last in this serie</t>
  </si>
  <si>
    <t>Delete...</t>
  </si>
  <si>
    <t>Delete the serie</t>
  </si>
  <si>
    <t>Modify...</t>
  </si>
  <si>
    <t>Move up</t>
  </si>
  <si>
    <t>Move down</t>
  </si>
  <si>
    <t>Show daily</t>
  </si>
  <si>
    <t>Show weekly</t>
  </si>
  <si>
    <t>Show monthly</t>
  </si>
  <si>
    <t>Show budget</t>
  </si>
  <si>
    <t>Show comments</t>
  </si>
  <si>
    <t>Update project members</t>
  </si>
  <si>
    <t>Update holidays</t>
  </si>
  <si>
    <t>Refresh Gantt Chart</t>
  </si>
  <si>
    <t>Send by email</t>
  </si>
  <si>
    <t>Adjust print margins</t>
  </si>
  <si>
    <t>Satisfaction survey</t>
  </si>
  <si>
    <t>Report an issue</t>
  </si>
  <si>
    <t>Help</t>
  </si>
  <si>
    <t>About</t>
  </si>
  <si>
    <t>Count</t>
  </si>
  <si>
    <t>Contextual Menu</t>
  </si>
  <si>
    <t>MENU GANTT</t>
  </si>
  <si>
    <t>Insérer…</t>
  </si>
  <si>
    <t>Supprimer…</t>
  </si>
  <si>
    <t>Supprimer la tâche</t>
  </si>
  <si>
    <t>Supprimer la série</t>
  </si>
  <si>
    <t>Modifier…</t>
  </si>
  <si>
    <t>Affichage</t>
  </si>
  <si>
    <t>Hebdomadaire</t>
  </si>
  <si>
    <t>Quotidien</t>
  </si>
  <si>
    <t>Montrer les budgets</t>
  </si>
  <si>
    <t>Montrer les commentaires</t>
  </si>
  <si>
    <t>Outils</t>
  </si>
  <si>
    <t>Liste des membres projet</t>
  </si>
  <si>
    <t>Mettre à jour congés</t>
  </si>
  <si>
    <t>Rafraîchir le diagramme</t>
  </si>
  <si>
    <t>Envoyer par email</t>
  </si>
  <si>
    <t>Ajuster à l'impression</t>
  </si>
  <si>
    <t>Signaler un problème</t>
  </si>
  <si>
    <t>Macro Reminder</t>
  </si>
  <si>
    <t>Cell ROW</t>
  </si>
  <si>
    <t>With the STARTER version, you cannot exceed 100 rowss.</t>
  </si>
  <si>
    <t>Gantt : rows Limit</t>
  </si>
  <si>
    <t xml:space="preserve">Number of rows: </t>
  </si>
  <si>
    <t>left_panel_13</t>
  </si>
  <si>
    <t>Afficher le budget</t>
  </si>
  <si>
    <t>Show Budget</t>
  </si>
  <si>
    <t>Mostrar Presupuesto</t>
  </si>
  <si>
    <t>Budget anzeigen</t>
  </si>
  <si>
    <t>2.1</t>
  </si>
  <si>
    <t>Deleting Tasks Warning (VBA)</t>
  </si>
  <si>
    <t>HideValues : Delete Warning</t>
  </si>
  <si>
    <t>Deleting task(s) cannot be cancelled</t>
  </si>
  <si>
    <t>Suppression de tâches</t>
  </si>
  <si>
    <t xml:space="preserve">Deleting task(s) </t>
  </si>
  <si>
    <t>La suppression de tâche(s) ne peut être annulée</t>
  </si>
  <si>
    <t>Eliminación de tareas</t>
  </si>
  <si>
    <t>Ribbon Menu</t>
  </si>
  <si>
    <t>New Gantt</t>
  </si>
  <si>
    <t>Insert</t>
  </si>
  <si>
    <t>Delete</t>
  </si>
  <si>
    <t>Delete the task</t>
  </si>
  <si>
    <t>Move Up</t>
  </si>
  <si>
    <t>Move Down</t>
  </si>
  <si>
    <t>Weekly</t>
  </si>
  <si>
    <t>Monthly</t>
  </si>
  <si>
    <t>Working Days</t>
  </si>
  <si>
    <t>Update members list</t>
  </si>
  <si>
    <t>Show/Hide Budget</t>
  </si>
  <si>
    <t>Show/Hide Comments</t>
  </si>
  <si>
    <t>Full screen</t>
  </si>
  <si>
    <t>Disable/Enable Macro Reminder</t>
  </si>
  <si>
    <t>Controls</t>
  </si>
  <si>
    <t>customGroup1</t>
  </si>
  <si>
    <t>New_Gantt</t>
  </si>
  <si>
    <t>AddMenu</t>
  </si>
  <si>
    <t>Insert_Below</t>
  </si>
  <si>
    <t>Insert_Above</t>
  </si>
  <si>
    <t>Insert_Last</t>
  </si>
  <si>
    <t>DeleteMenu</t>
  </si>
  <si>
    <t>Delete_Task</t>
  </si>
  <si>
    <t>Delete_Serie</t>
  </si>
  <si>
    <t>ModifyMenu</t>
  </si>
  <si>
    <t>Modify</t>
  </si>
  <si>
    <t>Make_Child</t>
  </si>
  <si>
    <t>Make_Parent</t>
  </si>
  <si>
    <t>Move_Up</t>
  </si>
  <si>
    <t>Move_Down</t>
  </si>
  <si>
    <t>Renumber</t>
  </si>
  <si>
    <t>ViewGroup</t>
  </si>
  <si>
    <t>Start_Date</t>
  </si>
  <si>
    <t>Start_Auto</t>
  </si>
  <si>
    <t>Start_Today</t>
  </si>
  <si>
    <t>GroupOptions</t>
  </si>
  <si>
    <t>Options</t>
  </si>
  <si>
    <t>Work-D</t>
  </si>
  <si>
    <t>Work_Days</t>
  </si>
  <si>
    <t>Working days only</t>
  </si>
  <si>
    <t>Work_Days_All</t>
  </si>
  <si>
    <t>Week-Symbol</t>
  </si>
  <si>
    <t>WE-Days</t>
  </si>
  <si>
    <t>Week_End_Days_01</t>
  </si>
  <si>
    <t>Week_End_Days_02</t>
  </si>
  <si>
    <t>Week_End_Days_03</t>
  </si>
  <si>
    <t>Week_End_Days_04</t>
  </si>
  <si>
    <t>Week_End_Days_05</t>
  </si>
  <si>
    <t>Week_End_Days_06</t>
  </si>
  <si>
    <t>Week_End_Days_07</t>
  </si>
  <si>
    <t>Week_End_Days_08</t>
  </si>
  <si>
    <t>Week_End_Days_09</t>
  </si>
  <si>
    <t>Week_End_Days_10</t>
  </si>
  <si>
    <t>Week_End_Days_11</t>
  </si>
  <si>
    <t>Week_End_Days_12</t>
  </si>
  <si>
    <t>Week_End_Days_13</t>
  </si>
  <si>
    <t>Week_End_Days_14</t>
  </si>
  <si>
    <t>first-day</t>
  </si>
  <si>
    <t>First_Day_1</t>
  </si>
  <si>
    <t>First_Day_2</t>
  </si>
  <si>
    <t>First_Day_3</t>
  </si>
  <si>
    <t>First_Day_4</t>
  </si>
  <si>
    <t>First_Day_5</t>
  </si>
  <si>
    <t>First_Day_6</t>
  </si>
  <si>
    <t>First_Day_7</t>
  </si>
  <si>
    <t>First_Day_8</t>
  </si>
  <si>
    <t>RefreshGroup</t>
  </si>
  <si>
    <t>ToolsMenu</t>
  </si>
  <si>
    <t>Update_Holidays</t>
  </si>
  <si>
    <t>Show_Budget</t>
  </si>
  <si>
    <t>Show_Comments</t>
  </si>
  <si>
    <t>Send_Email</t>
  </si>
  <si>
    <t>Adjust_Print</t>
  </si>
  <si>
    <t>Full_Screen</t>
  </si>
  <si>
    <t>Macro_Reminder</t>
  </si>
  <si>
    <t>Report_Concern</t>
  </si>
  <si>
    <t>TraslateMenu</t>
  </si>
  <si>
    <t>GroupAbout</t>
  </si>
  <si>
    <t>Survey</t>
  </si>
  <si>
    <t>View_Daily</t>
  </si>
  <si>
    <t>View_Weekly</t>
  </si>
  <si>
    <t>View_Monthly</t>
  </si>
  <si>
    <t>Update_Members</t>
  </si>
  <si>
    <t>Ribbon</t>
  </si>
  <si>
    <t>First day of the week</t>
  </si>
  <si>
    <t>Premier jour de semaine</t>
  </si>
  <si>
    <t>Primer día de la semana</t>
  </si>
  <si>
    <t>Erster Tag der Woche</t>
  </si>
  <si>
    <t>All days worked</t>
  </si>
  <si>
    <t>Weekend days</t>
  </si>
  <si>
    <t>Jours de week-end</t>
  </si>
  <si>
    <t>Días de fin de semana</t>
  </si>
  <si>
    <t>Plein écran</t>
  </si>
  <si>
    <t>Activer/Désactiver le rappel des macros</t>
  </si>
  <si>
    <t>Afficher/Masquer le budget</t>
  </si>
  <si>
    <t>Afficher/Masquer les commentaires</t>
  </si>
  <si>
    <t>Contrôles</t>
  </si>
  <si>
    <t>Nouveau Gantt</t>
  </si>
  <si>
    <t>Insérer</t>
  </si>
  <si>
    <t>Supprimer</t>
  </si>
  <si>
    <t>Modifier</t>
  </si>
  <si>
    <t>Mensual</t>
  </si>
  <si>
    <t>Semanal</t>
  </si>
  <si>
    <t>Diario</t>
  </si>
  <si>
    <t>Refresh</t>
  </si>
  <si>
    <t>Rafraichir</t>
  </si>
  <si>
    <t>À propos</t>
  </si>
  <si>
    <t>UserForm Add Tasks</t>
  </si>
  <si>
    <t>Add_Tasks_Form</t>
  </si>
  <si>
    <t>Add New Tasks</t>
  </si>
  <si>
    <t>Form_Add_Title1</t>
  </si>
  <si>
    <t>Form_Add_Title2</t>
  </si>
  <si>
    <t>Form_Add_Title3</t>
  </si>
  <si>
    <t>Form_Add_Last</t>
  </si>
  <si>
    <t>Form_Add_Below</t>
  </si>
  <si>
    <t>Form_Add_Above</t>
  </si>
  <si>
    <t>Form_Add_Header</t>
  </si>
  <si>
    <t>Form_Add_Number</t>
  </si>
  <si>
    <t>Form_Add_Cancel</t>
  </si>
  <si>
    <t>Form_Add_OK</t>
  </si>
  <si>
    <t>Form_Add_Title0</t>
  </si>
  <si>
    <t>Ajouter des tâches</t>
  </si>
  <si>
    <t>UserForm : Add Tasks</t>
  </si>
  <si>
    <t>Number all the serie</t>
  </si>
  <si>
    <t>Insert_Custom</t>
  </si>
  <si>
    <t>Ajout personnalisé</t>
  </si>
  <si>
    <t>Customized addition</t>
  </si>
  <si>
    <t>Jours de congé</t>
  </si>
  <si>
    <t>Bank Holidays &amp; Vacations</t>
  </si>
  <si>
    <t>Seleccione la fecha de inicio del diagrama de Gantt</t>
  </si>
  <si>
    <t>Afficher les drapeaux</t>
  </si>
  <si>
    <t>Afficher les commentaires</t>
  </si>
  <si>
    <t>Rappel à l'ouverture pour activer les macros</t>
  </si>
  <si>
    <t>Téléchargez la version PRO !</t>
  </si>
  <si>
    <t>Later</t>
  </si>
  <si>
    <t>Form_About_Title</t>
  </si>
  <si>
    <t>Form_About_Ver_Text</t>
  </si>
  <si>
    <t>Form_About_Copy_Text</t>
  </si>
  <si>
    <t>About_Form</t>
  </si>
  <si>
    <t>Form_About_Upgrade_Today</t>
  </si>
  <si>
    <t>Form_About_Purchase_Today</t>
  </si>
  <si>
    <t>UserForm : About</t>
  </si>
  <si>
    <t>Hyperlink 1</t>
  </si>
  <si>
    <t>Hyperlink 2</t>
  </si>
  <si>
    <t>Über</t>
  </si>
  <si>
    <t>Purchase your own copy</t>
  </si>
  <si>
    <t>Obtenez votre copie personnelle</t>
  </si>
  <si>
    <t>Upgrade to PRO  today !</t>
  </si>
  <si>
    <t>CF Budget</t>
  </si>
  <si>
    <t>CF Flags</t>
  </si>
  <si>
    <t>CF Round F</t>
  </si>
  <si>
    <r>
      <rPr>
        <sz val="12"/>
        <color theme="1" tint="0.499984740745262"/>
        <rFont val="Wingdings"/>
        <charset val="2"/>
      </rPr>
      <t xml:space="preserve"> ¶¶¶</t>
    </r>
    <r>
      <rPr>
        <sz val="12"/>
        <color theme="1" tint="0.499984740745262"/>
        <rFont val="Arial Narrow"/>
        <family val="2"/>
      </rPr>
      <t xml:space="preserve"> Please Hide these rows. Do not delete. </t>
    </r>
    <r>
      <rPr>
        <sz val="12"/>
        <color theme="1" tint="0.499984740745262"/>
        <rFont val="Wingdings"/>
        <charset val="2"/>
      </rPr>
      <t>¶¶¶</t>
    </r>
  </si>
  <si>
    <t>CF Type</t>
  </si>
  <si>
    <t>View Type</t>
  </si>
  <si>
    <t>CF_panel_1</t>
  </si>
  <si>
    <t>CF_panel_2</t>
  </si>
  <si>
    <t>HideValues : Gantt Style</t>
  </si>
  <si>
    <t>Gantt Style</t>
  </si>
  <si>
    <t>Choisissez le type de couleurs à utiliser pour le diagramme</t>
  </si>
  <si>
    <t>Style du Gantt</t>
  </si>
  <si>
    <t>Select the Gantt style you would like to use from the drop-down list</t>
  </si>
  <si>
    <t>Estilo de Gantt</t>
  </si>
  <si>
    <t>Seleccione el estilo de Gantt que desea utilizar en la lista desplegable</t>
  </si>
  <si>
    <t>Gantt-Stil</t>
  </si>
  <si>
    <t>One color per person</t>
  </si>
  <si>
    <t>Une couleur par personne</t>
  </si>
  <si>
    <t>Eine Farbe pro Person</t>
  </si>
  <si>
    <t>Un color por persona</t>
  </si>
  <si>
    <t>Color</t>
  </si>
  <si>
    <t>Couleurs</t>
  </si>
  <si>
    <t>Farbe</t>
  </si>
  <si>
    <t>CF Gantt Engine 2</t>
  </si>
  <si>
    <t>CF Gantt Engine 1</t>
  </si>
  <si>
    <t>CF Gantt Engine 3</t>
  </si>
  <si>
    <t>CF Gantt Engine 4</t>
  </si>
  <si>
    <t>CF Gantt Engine 6</t>
  </si>
  <si>
    <t>CF Gantt Engine 5</t>
  </si>
  <si>
    <t>Option 4</t>
  </si>
  <si>
    <t>Option 5</t>
  </si>
  <si>
    <t>Option 6</t>
  </si>
  <si>
    <t>Palette orange</t>
  </si>
  <si>
    <t>Palette rose</t>
  </si>
  <si>
    <t>Palette par défaut</t>
  </si>
  <si>
    <t>Palette mauve</t>
  </si>
  <si>
    <t>Palette bleue</t>
  </si>
  <si>
    <t>Default Colors</t>
  </si>
  <si>
    <t>Blue set</t>
  </si>
  <si>
    <t>Purple set</t>
  </si>
  <si>
    <t>Orange set</t>
  </si>
  <si>
    <t>Pink set</t>
  </si>
  <si>
    <t>Paleta predeterminada</t>
  </si>
  <si>
    <t>Paleta de color azul</t>
  </si>
  <si>
    <t>Paleta de color púrpura</t>
  </si>
  <si>
    <t>Paleta de color naranja</t>
  </si>
  <si>
    <t>Paleta de color rosa</t>
  </si>
  <si>
    <t>Style</t>
  </si>
  <si>
    <t>Stil</t>
  </si>
  <si>
    <t>Estilo</t>
  </si>
  <si>
    <t>StyleMenu</t>
  </si>
  <si>
    <t>Style_Default</t>
  </si>
  <si>
    <t>Style_1</t>
  </si>
  <si>
    <t>Style_2</t>
  </si>
  <si>
    <t>Style_3</t>
  </si>
  <si>
    <t>Style_4</t>
  </si>
  <si>
    <t>Style_PIC</t>
  </si>
  <si>
    <t>Einfügen</t>
  </si>
  <si>
    <t>Löschen</t>
  </si>
  <si>
    <t>Ändern</t>
  </si>
  <si>
    <t>Optionen</t>
  </si>
  <si>
    <t>Vollbild</t>
  </si>
  <si>
    <t>Insertar</t>
  </si>
  <si>
    <t>Borrar</t>
  </si>
  <si>
    <t>Modificar</t>
  </si>
  <si>
    <t>Mostrar / Ocultar Presupuesto</t>
  </si>
  <si>
    <t>Mostrar / Ocultar Comentarios</t>
  </si>
  <si>
    <t>Pantalla completa</t>
  </si>
  <si>
    <t>Refrescar</t>
  </si>
  <si>
    <t>Controles</t>
  </si>
  <si>
    <t>Opciones</t>
  </si>
  <si>
    <t>Insertar ...</t>
  </si>
  <si>
    <t>Eliminar ...</t>
  </si>
  <si>
    <t>Editar ...</t>
  </si>
  <si>
    <t>Visualización</t>
  </si>
  <si>
    <t>Mostrar los presupuestos</t>
  </si>
  <si>
    <t>Mostrar comentarios</t>
  </si>
  <si>
    <t>Actualizar días de fiesta</t>
  </si>
  <si>
    <t>Ajuste para imprimir</t>
  </si>
  <si>
    <t>Encuesta de satisfacción</t>
  </si>
  <si>
    <t>Informar de un error</t>
  </si>
  <si>
    <t>Täglich</t>
  </si>
  <si>
    <t>Wöchentlich</t>
  </si>
  <si>
    <t>Werkzeuge</t>
  </si>
  <si>
    <t>Ein Problem melden</t>
  </si>
  <si>
    <t>2.2</t>
  </si>
  <si>
    <t>Dep_Menu</t>
  </si>
  <si>
    <t>Dep_With_Prev</t>
  </si>
  <si>
    <t>Dep_After_Prev</t>
  </si>
  <si>
    <t>Dep_With_Next</t>
  </si>
  <si>
    <t>Dep_After_Next</t>
  </si>
  <si>
    <t>Dep_Special</t>
  </si>
  <si>
    <t>Dependencies</t>
  </si>
  <si>
    <t>Start with previous</t>
  </si>
  <si>
    <t>Start after previous</t>
  </si>
  <si>
    <t>Start with next</t>
  </si>
  <si>
    <t>Start after next</t>
  </si>
  <si>
    <t>Customized dependency</t>
  </si>
  <si>
    <t>Dépendances</t>
  </si>
  <si>
    <t>Dépendance personnalisée</t>
  </si>
  <si>
    <t>Abhängigkeiten</t>
  </si>
  <si>
    <t>Beginnen Sie mit früheren</t>
  </si>
  <si>
    <t>Starten Sie nach vorheriger</t>
  </si>
  <si>
    <t>Starten Sie nach dem nächsten</t>
  </si>
  <si>
    <t>Dependencias</t>
  </si>
  <si>
    <t>Dependencia personalizada</t>
  </si>
  <si>
    <t>CF Start</t>
  </si>
  <si>
    <t>CF Duration</t>
  </si>
  <si>
    <t>Retroplanning with previous</t>
  </si>
  <si>
    <t>Retroplanning with next</t>
  </si>
  <si>
    <t>Retroplanning avec précédente</t>
  </si>
  <si>
    <t>Retroplanning avec suivante</t>
  </si>
  <si>
    <t>Dep_Retro_Next</t>
  </si>
  <si>
    <t>Dep_Retro_Prev</t>
  </si>
  <si>
    <t>Dep_Help</t>
  </si>
  <si>
    <t>Form_Dependencies</t>
  </si>
  <si>
    <t>Form_Dep_Title0</t>
  </si>
  <si>
    <t>Form_Dep_Title1</t>
  </si>
  <si>
    <t>Form_Dep_Title2</t>
  </si>
  <si>
    <t>Form_Dep_Title3</t>
  </si>
  <si>
    <t>Cancel</t>
  </si>
  <si>
    <t>Add</t>
  </si>
  <si>
    <t>http://project-lead-eu</t>
  </si>
  <si>
    <t>Type of dependency:</t>
  </si>
  <si>
    <t>Type de dépendance:</t>
  </si>
  <si>
    <t>Tipo de dependencia:</t>
  </si>
  <si>
    <t>Art der Abhängigkeit:</t>
  </si>
  <si>
    <t>Tâche 1 (tâche sélectionnée):</t>
  </si>
  <si>
    <t>Tâche 2 :</t>
  </si>
  <si>
    <t>Tâche 1 commence après la tâche 2</t>
  </si>
  <si>
    <t>Tâche 1 commence avec la tâche 2</t>
  </si>
  <si>
    <t>Tâche 2 commence après la tâche 1</t>
  </si>
  <si>
    <t>Tâche 1 en retroplanning avec la tâche 2</t>
  </si>
  <si>
    <t>Tâche 2 en retroplanning avec la tâche 1</t>
  </si>
  <si>
    <t>Form_Dep_Type</t>
  </si>
  <si>
    <t>Aufgabe 1 (ausgewählte Aufgabe):</t>
  </si>
  <si>
    <t>Aufgabe 2:</t>
  </si>
  <si>
    <t>Tarea 1 (tarea seleccionada):</t>
  </si>
  <si>
    <t>Tarea 2:</t>
  </si>
  <si>
    <t>Task 1 (selected task):</t>
  </si>
  <si>
    <t>Task 2:</t>
  </si>
  <si>
    <t>Aufgabe 1 beginnt mit Aufgabe 2</t>
  </si>
  <si>
    <t>Task 1 begins with Task 2</t>
  </si>
  <si>
    <t>Task 2 in retroplanning with task 1</t>
  </si>
  <si>
    <t>Task 1 begins after task 2</t>
  </si>
  <si>
    <t>Task 2 begins after task 1</t>
  </si>
  <si>
    <t>Task 1 in retroplanning with task 2</t>
  </si>
  <si>
    <t>Ajouter une dépendance</t>
  </si>
  <si>
    <t>Add a dependency</t>
  </si>
  <si>
    <t>Agregar dependencia</t>
  </si>
  <si>
    <t>http://project-lead.eu/support-excel-gantt-chart-maker</t>
  </si>
  <si>
    <t>http://project-lead.eu/support-diagramme-de-gantt</t>
  </si>
  <si>
    <t>http://project-lead.eu/diagramme-de-gantt/</t>
  </si>
  <si>
    <t>http://project-lead.eu/gantt-chart-maker/</t>
  </si>
  <si>
    <t>Débuter avec précédente</t>
  </si>
  <si>
    <t>Débuter après précédente</t>
  </si>
  <si>
    <t>Débuter avec suivante</t>
  </si>
  <si>
    <t>Débuter après suivante</t>
  </si>
  <si>
    <t>PC-style</t>
  </si>
  <si>
    <t>mac-style</t>
  </si>
  <si>
    <t>Dependance Impossible (VBA)</t>
  </si>
  <si>
    <t>Dependency Error</t>
  </si>
  <si>
    <t>This dependency cannot be created</t>
  </si>
  <si>
    <t>Erreur de dépendance</t>
  </si>
  <si>
    <t>Cette dépendance ne peut être créée</t>
  </si>
  <si>
    <t>Esta dependencia no se puede crear</t>
  </si>
  <si>
    <t>Error de dependencia</t>
  </si>
  <si>
    <t>Diese Abhängigkeit kann nicht erstellt werden</t>
  </si>
  <si>
    <t>Target Cell Date Picker User Form</t>
  </si>
  <si>
    <t>BkMark</t>
  </si>
  <si>
    <t>Start_Picker</t>
  </si>
  <si>
    <t>Red Line</t>
  </si>
  <si>
    <t>Ligne rouge</t>
  </si>
  <si>
    <t>Veuillez choisir la date de la ligne rouge</t>
  </si>
  <si>
    <t>Línea roja</t>
  </si>
  <si>
    <t>Rote Linie</t>
  </si>
  <si>
    <t>Date_Picker</t>
  </si>
  <si>
    <t>Label1</t>
  </si>
  <si>
    <t>Label2</t>
  </si>
  <si>
    <t>Userform</t>
  </si>
  <si>
    <t>Aujourd'hui:</t>
  </si>
  <si>
    <t>Go to today:</t>
  </si>
  <si>
    <t>Picked date:</t>
  </si>
  <si>
    <t>Date sélectionnée:</t>
  </si>
  <si>
    <t>Ausgewähltes Datum:</t>
  </si>
  <si>
    <t>Fecha seleccionada:</t>
  </si>
  <si>
    <t>CommandButton1</t>
  </si>
  <si>
    <t>Annuler</t>
  </si>
  <si>
    <t>Cancelar</t>
  </si>
  <si>
    <t>Choisir depuis calendrier</t>
  </si>
  <si>
    <t>Seleccione de calendario</t>
  </si>
  <si>
    <t>Pick from a calendar</t>
  </si>
  <si>
    <t>Dynamic</t>
  </si>
  <si>
    <t>Static</t>
  </si>
  <si>
    <t>Filter</t>
  </si>
  <si>
    <t>filter_member</t>
  </si>
  <si>
    <t>Filter by member</t>
  </si>
  <si>
    <t>filter_progress</t>
  </si>
  <si>
    <t>Filter by progress</t>
  </si>
  <si>
    <t>Not started</t>
  </si>
  <si>
    <t>Not completed</t>
  </si>
  <si>
    <t>Delay</t>
  </si>
  <si>
    <t>Completed</t>
  </si>
  <si>
    <t>All</t>
  </si>
  <si>
    <t>Cancel_Filter</t>
  </si>
  <si>
    <t>Clear all filters</t>
  </si>
  <si>
    <t>Filtrer par personne</t>
  </si>
  <si>
    <t>Filtrer par progrès</t>
  </si>
  <si>
    <t>Tâches terminées</t>
  </si>
  <si>
    <t>Tâches non-terminées</t>
  </si>
  <si>
    <t>Toutes les tâches</t>
  </si>
  <si>
    <t>Supprimer les filtres</t>
  </si>
  <si>
    <t>Tâches non-entamées</t>
  </si>
  <si>
    <t>Con retraso</t>
  </si>
  <si>
    <t>Borrar filtros</t>
  </si>
  <si>
    <t>Todas las tareas</t>
  </si>
  <si>
    <t>Filtrar por el progreso</t>
  </si>
  <si>
    <t>GroupFilter</t>
  </si>
  <si>
    <t>Filters</t>
  </si>
  <si>
    <t>Filtres</t>
  </si>
  <si>
    <t>Filtros</t>
  </si>
  <si>
    <t>Progress_1</t>
  </si>
  <si>
    <t>Progress_2</t>
  </si>
  <si>
    <t>Progress_5</t>
  </si>
  <si>
    <t>Progress_3</t>
  </si>
  <si>
    <t>Progress_4</t>
  </si>
  <si>
    <t>Tâches en retard</t>
  </si>
  <si>
    <t>PC-view_1</t>
  </si>
  <si>
    <t>PC-view_2</t>
  </si>
  <si>
    <t>PC-view_3</t>
  </si>
  <si>
    <t>mac-view_1</t>
  </si>
  <si>
    <t>mac-view_2</t>
  </si>
  <si>
    <t>mac-view_3</t>
  </si>
  <si>
    <t>view1_txt</t>
  </si>
  <si>
    <t>view2_txt</t>
  </si>
  <si>
    <t>view3_txt</t>
  </si>
  <si>
    <t>Hebdo.</t>
  </si>
  <si>
    <t>Type of view</t>
  </si>
  <si>
    <t>Type de vue</t>
  </si>
  <si>
    <t>Art der Ansicht</t>
  </si>
  <si>
    <t>PC-lang_img1</t>
  </si>
  <si>
    <t>PC-lang_img2</t>
  </si>
  <si>
    <t>PC-lang_img3</t>
  </si>
  <si>
    <t>PC-lang_img4</t>
  </si>
  <si>
    <t>mac-lang_img1</t>
  </si>
  <si>
    <t>mac-lang_img2</t>
  </si>
  <si>
    <t>mac-lang_img3</t>
  </si>
  <si>
    <t>mac-lang_img4</t>
  </si>
  <si>
    <t>Left Menu</t>
  </si>
  <si>
    <t>View Left Menu</t>
  </si>
  <si>
    <t>Mettre à jour membres</t>
  </si>
  <si>
    <t>Actualizar lista de miembros</t>
  </si>
  <si>
    <t>Named Range</t>
  </si>
  <si>
    <t>Title_Planning</t>
  </si>
  <si>
    <t>Title_Budget</t>
  </si>
  <si>
    <t>Title_Leader</t>
  </si>
  <si>
    <t>Title_Plan</t>
  </si>
  <si>
    <t>Title_Color</t>
  </si>
  <si>
    <t>Title_Start</t>
  </si>
  <si>
    <t>Title_Duration</t>
  </si>
  <si>
    <t>Title_Due</t>
  </si>
  <si>
    <t>Title_Progress</t>
  </si>
  <si>
    <t>Title_Actual</t>
  </si>
  <si>
    <t>Title_Comments</t>
  </si>
  <si>
    <t>Title_Wdays</t>
  </si>
  <si>
    <t>Title_AllDays</t>
  </si>
  <si>
    <t>Title_Budget_Perc</t>
  </si>
  <si>
    <t>Title_Recal_Start</t>
  </si>
  <si>
    <t>Title_Recal_End</t>
  </si>
  <si>
    <t>Title_Start_W</t>
  </si>
  <si>
    <t>Title_Duration_W</t>
  </si>
  <si>
    <t>Title_Due_W</t>
  </si>
  <si>
    <t>Title_Progress_W</t>
  </si>
  <si>
    <t>Title_Plan_W</t>
  </si>
  <si>
    <t>Title_Actual_W</t>
  </si>
  <si>
    <t>Title_Comments_W</t>
  </si>
  <si>
    <t>Title_Leader_W</t>
  </si>
  <si>
    <t>Title_Color_W</t>
  </si>
  <si>
    <t>Title_Wdays_W</t>
  </si>
  <si>
    <t>Title_AllDays_W</t>
  </si>
  <si>
    <t>d</t>
  </si>
  <si>
    <t>Recal. Dur.</t>
  </si>
  <si>
    <t>w</t>
  </si>
  <si>
    <t>m</t>
  </si>
  <si>
    <t>CF Dur. Type</t>
  </si>
  <si>
    <t>Title_Recal_Dur</t>
  </si>
  <si>
    <t>Duration Type</t>
  </si>
  <si>
    <t>dur_type_d</t>
  </si>
  <si>
    <t>dur_type_m</t>
  </si>
  <si>
    <t>dur_type_w</t>
  </si>
  <si>
    <t>j</t>
  </si>
  <si>
    <t>s</t>
  </si>
  <si>
    <t>t</t>
  </si>
  <si>
    <r>
      <t xml:space="preserve">Gantt Chart Titles </t>
    </r>
    <r>
      <rPr>
        <b/>
        <sz val="10"/>
        <color rgb="FFFF0000"/>
        <rFont val="Arial"/>
        <family val="2"/>
      </rPr>
      <t>(monthly</t>
    </r>
    <r>
      <rPr>
        <sz val="10"/>
        <color rgb="FFFF0000"/>
        <rFont val="Arial"/>
        <family val="2"/>
      </rPr>
      <t xml:space="preserve"> view)</t>
    </r>
  </si>
  <si>
    <t>Title_Task_Level</t>
  </si>
  <si>
    <t>Title_Task_Level_W</t>
  </si>
  <si>
    <t>Title_Recal_Dur_W</t>
  </si>
  <si>
    <t>Task Level</t>
  </si>
  <si>
    <t>Niv. Taches</t>
  </si>
  <si>
    <t>11-2016</t>
  </si>
  <si>
    <t>2-2017</t>
  </si>
  <si>
    <t>5-2017</t>
  </si>
  <si>
    <t>8-2017</t>
  </si>
  <si>
    <t>11-2017</t>
  </si>
  <si>
    <t>2-2018</t>
  </si>
  <si>
    <t>3.1</t>
  </si>
  <si>
    <t>3.2</t>
  </si>
  <si>
    <t>Relever d'un niveau</t>
  </si>
  <si>
    <t>Baisser d'un niveau</t>
  </si>
  <si>
    <t>Déplacer vers le haut</t>
  </si>
  <si>
    <t>Déplacer vers le bas</t>
  </si>
  <si>
    <t>Mover hacia abajo</t>
  </si>
  <si>
    <t>Task Trans.</t>
  </si>
  <si>
    <t>Sub_Task_Trans</t>
  </si>
  <si>
    <t>Task_Trans</t>
  </si>
  <si>
    <t>Gantt Chart Task Title</t>
  </si>
  <si>
    <t>Tache</t>
  </si>
  <si>
    <t>Sous-tache</t>
  </si>
  <si>
    <t>Tarea</t>
  </si>
  <si>
    <t>Aufgabe</t>
  </si>
  <si>
    <t>Sub-tarea</t>
  </si>
  <si>
    <t>Unteraufgabe</t>
  </si>
  <si>
    <t>4.1</t>
  </si>
  <si>
    <t>4.2</t>
  </si>
  <si>
    <t>4.3</t>
  </si>
  <si>
    <t>5.1</t>
  </si>
  <si>
    <t>5.2</t>
  </si>
  <si>
    <t>MS</t>
  </si>
  <si>
    <t>Milestone</t>
  </si>
  <si>
    <t>Jalon</t>
  </si>
  <si>
    <t>MS_Trans</t>
  </si>
  <si>
    <t>Meilenstein</t>
  </si>
  <si>
    <t>Hito</t>
  </si>
  <si>
    <t>Insert_Milestone</t>
  </si>
  <si>
    <t>MS_Below</t>
  </si>
  <si>
    <t>MS_Above</t>
  </si>
  <si>
    <t>Jalons</t>
  </si>
  <si>
    <t>Milestones</t>
  </si>
  <si>
    <t>Promote</t>
  </si>
  <si>
    <t>Demote</t>
  </si>
  <si>
    <t>Renumérotation complète</t>
  </si>
  <si>
    <t>Numeración completa</t>
  </si>
  <si>
    <t>Numérotation</t>
  </si>
  <si>
    <t>Numeración</t>
  </si>
  <si>
    <t>Nummerierung</t>
  </si>
  <si>
    <t>Numbering</t>
  </si>
  <si>
    <t>Re-number fully</t>
  </si>
  <si>
    <t>renumber_full</t>
  </si>
  <si>
    <t>renumber_subs</t>
  </si>
  <si>
    <t>Re-number sub-tasks</t>
  </si>
  <si>
    <t>Renumérotation des sous-tâches</t>
  </si>
  <si>
    <t>Numeración de las subtareas</t>
  </si>
  <si>
    <t>1.2</t>
  </si>
  <si>
    <t>ID</t>
  </si>
  <si>
    <t>Spanish</t>
  </si>
  <si>
    <t>German</t>
  </si>
  <si>
    <t>OK</t>
  </si>
  <si>
    <t>Spell check</t>
  </si>
  <si>
    <t>Portuguese</t>
  </si>
  <si>
    <t>Dutch</t>
  </si>
  <si>
    <t>Data de Início</t>
  </si>
  <si>
    <t>Selecione a data de início do gráfico de Gantt</t>
  </si>
  <si>
    <t>Hoje</t>
  </si>
  <si>
    <t>Automático</t>
  </si>
  <si>
    <t>Linha Vermelha</t>
  </si>
  <si>
    <t>Selecione a data que será mostrado com uma linha vermelha no gráfico Gantt</t>
  </si>
  <si>
    <t>Dias Úteis</t>
  </si>
  <si>
    <t>Selecione os dias úteis que se aplicam ao seu projeto</t>
  </si>
  <si>
    <t>Símbolo da semana</t>
  </si>
  <si>
    <t>Escolha como exibir os números da semana</t>
  </si>
  <si>
    <t>Mostrar Orçamento</t>
  </si>
  <si>
    <t>Mostrar Bandeira</t>
  </si>
  <si>
    <t>Mostrar Comentários</t>
  </si>
  <si>
    <t>Lembrete para ativar macros ao iniciar</t>
  </si>
  <si>
    <t>Dias de fim de semana:</t>
  </si>
  <si>
    <t>Primeiro dia da semana:</t>
  </si>
  <si>
    <t>Estilo Gantt</t>
  </si>
  <si>
    <t>Selecione o estilo Gantt que você gostaria de usar a partir da lista suspensa.</t>
  </si>
  <si>
    <t>Cores Padrão</t>
  </si>
  <si>
    <t>Conjunto azul</t>
  </si>
  <si>
    <t>Conjunto roxo</t>
  </si>
  <si>
    <t>Conjunto laranja</t>
  </si>
  <si>
    <t>Conjunto rosa</t>
  </si>
  <si>
    <t>Uma cor por pessoa</t>
  </si>
  <si>
    <t>Agenda</t>
  </si>
  <si>
    <t>Líder</t>
  </si>
  <si>
    <t>Cor</t>
  </si>
  <si>
    <t>Iniciar</t>
  </si>
  <si>
    <t>Duração</t>
  </si>
  <si>
    <t>Previsão</t>
  </si>
  <si>
    <t>Progresso</t>
  </si>
  <si>
    <t>Orçamento</t>
  </si>
  <si>
    <t>Planejar</t>
  </si>
  <si>
    <t>Atual</t>
  </si>
  <si>
    <t>Comentários</t>
  </si>
  <si>
    <t>Início recalculado</t>
  </si>
  <si>
    <t>Final recalculado</t>
  </si>
  <si>
    <t>Nível da Tarefa</t>
  </si>
  <si>
    <t>Título do projeto</t>
  </si>
  <si>
    <t>Legenda para obter detalhes adicionais</t>
  </si>
  <si>
    <t>Visão</t>
  </si>
  <si>
    <t>Idioma</t>
  </si>
  <si>
    <t>Tipo de visão</t>
  </si>
  <si>
    <t>Diário</t>
  </si>
  <si>
    <t>Mensal</t>
  </si>
  <si>
    <t>Sair da Tela Cheia</t>
  </si>
  <si>
    <t>Banco de Feriados e Férias</t>
  </si>
  <si>
    <t>Membros da Equipe</t>
  </si>
  <si>
    <t>Abreviação</t>
  </si>
  <si>
    <t>Nome Completo</t>
  </si>
  <si>
    <t>Divisão</t>
  </si>
  <si>
    <t>Telefone</t>
  </si>
  <si>
    <t>Janeiro</t>
  </si>
  <si>
    <t>Fevereiro</t>
  </si>
  <si>
    <t>Março</t>
  </si>
  <si>
    <t>Abril</t>
  </si>
  <si>
    <t>Maio</t>
  </si>
  <si>
    <t>Junho</t>
  </si>
  <si>
    <t>Julho</t>
  </si>
  <si>
    <t>Agosto</t>
  </si>
  <si>
    <t>Setembro</t>
  </si>
  <si>
    <t>Outubro</t>
  </si>
  <si>
    <t>Novembro</t>
  </si>
  <si>
    <t>Dezembro</t>
  </si>
  <si>
    <t>Dias Úteis Apenas</t>
  </si>
  <si>
    <t>Todos os dias trabalhados</t>
  </si>
  <si>
    <t>Domingo, Segunda-feira</t>
  </si>
  <si>
    <t>Segunda-feira, Terça-feira</t>
  </si>
  <si>
    <t>Terça-feira, Quarta-feira</t>
  </si>
  <si>
    <t>Quarta-feira, Quinta-feira</t>
  </si>
  <si>
    <t>Quinta-feira, Sexta-feira</t>
  </si>
  <si>
    <t>Sexta-feira, Sabado</t>
  </si>
  <si>
    <t>Apenas domingo</t>
  </si>
  <si>
    <t>Apenas segunda-feira</t>
  </si>
  <si>
    <t>Apenas terça-feira</t>
  </si>
  <si>
    <t>Apenas quarta-feira</t>
  </si>
  <si>
    <t>Apenas quinta-feira</t>
  </si>
  <si>
    <t>Apenas sexta-feira</t>
  </si>
  <si>
    <t>Apenas sábado</t>
  </si>
  <si>
    <t>Segunda-feira (ISO 8601)</t>
  </si>
  <si>
    <t>Segunda-feira</t>
  </si>
  <si>
    <t>Terça-feira</t>
  </si>
  <si>
    <t>Quarta-feira</t>
  </si>
  <si>
    <t>Quinta-feira</t>
  </si>
  <si>
    <t>Sexta-feira</t>
  </si>
  <si>
    <t>Esta operação só esconde as colunas de orçamento.</t>
  </si>
  <si>
    <t>Por favor, limpe todos os campos relacionados de acordo com sua política de confidencialidade.</t>
  </si>
  <si>
    <t>Aviso de Confidencialidade</t>
  </si>
  <si>
    <t>Excluir tarefa(s)</t>
  </si>
  <si>
    <t>Excluir tarefa(s) não pode ser cancelada</t>
  </si>
  <si>
    <t>Pré-preencher os destinatários</t>
  </si>
  <si>
    <t>Você gostaria de pré-preencher os destinatários da lista de membros do projeto?</t>
  </si>
  <si>
    <t>[Confidencial] Última atualização do cronograma do projeto</t>
  </si>
  <si>
    <t>Versão Gratuita</t>
  </si>
  <si>
    <t>Este recurso não está disponível na versão gratuita do Excel Gantt Chart Maker.</t>
  </si>
  <si>
    <t>Faça download da versão PRO e descubra recursos exclusivos.</t>
  </si>
  <si>
    <t>Atualize para PRO  hoje !</t>
  </si>
  <si>
    <t>Mais tarde</t>
  </si>
  <si>
    <t>Com a versão de INICIANTE, você não pode exceder 100 linhas.</t>
  </si>
  <si>
    <t>Faça download da versão PRO, para remover essa limitação e descobrir outros recursos exclusivos.</t>
  </si>
  <si>
    <t>Adicionar Novas Tarefas</t>
  </si>
  <si>
    <t>Número de linhas:</t>
  </si>
  <si>
    <t>Localização:</t>
  </si>
  <si>
    <t>Opções:</t>
  </si>
  <si>
    <t>ADICIONAR</t>
  </si>
  <si>
    <t>Abaixo da última linha</t>
  </si>
  <si>
    <t>Abaixo da linha selecionada</t>
  </si>
  <si>
    <t>Acima da linha selecionada</t>
  </si>
  <si>
    <t>Incluir cabeçalho na tarefa</t>
  </si>
  <si>
    <t>Número de toda a serie</t>
  </si>
  <si>
    <t>Sobre</t>
  </si>
  <si>
    <t>Você tem a versão 8.2 PRO</t>
  </si>
  <si>
    <t>Se você recebeu este arquivo de um terceiro e gostaria de usá-lo para seus próprios projetos, convidamos a comprar a sua cópia pessoal.</t>
  </si>
  <si>
    <t>Comprar sua própria cópia</t>
  </si>
  <si>
    <t>Adicionar uma dependência</t>
  </si>
  <si>
    <t>Tarefa 1 (tarefa selecionada):</t>
  </si>
  <si>
    <t>Tarefa 2:</t>
  </si>
  <si>
    <t>Tipo de dependência:</t>
  </si>
  <si>
    <t>Tarefa 1 começa depois da tarefa 2</t>
  </si>
  <si>
    <t>Tarefa 1 começa com Tarefa 2</t>
  </si>
  <si>
    <t>Tarefa 2 começa depois da tarefa 1</t>
  </si>
  <si>
    <t>Tarefa 1 em planejamento com a tarefa 2</t>
  </si>
  <si>
    <t>Tarefa 2 em planejamento com a tarefa 1</t>
  </si>
  <si>
    <t>Inserir...</t>
  </si>
  <si>
    <t>Último desta série</t>
  </si>
  <si>
    <t>Excluir...</t>
  </si>
  <si>
    <t>Excluir a tarefa</t>
  </si>
  <si>
    <t>Excluir a série</t>
  </si>
  <si>
    <t>Modificar...</t>
  </si>
  <si>
    <t>Rebaixar</t>
  </si>
  <si>
    <t>Promover</t>
  </si>
  <si>
    <t>Mover para cima</t>
  </si>
  <si>
    <t>Mover para baixo</t>
  </si>
  <si>
    <t>Numeração</t>
  </si>
  <si>
    <t>Mostrar diariamente</t>
  </si>
  <si>
    <t>Mostrar semanalmente</t>
  </si>
  <si>
    <t>Mostrar mensalmente</t>
  </si>
  <si>
    <t>Ferramentas</t>
  </si>
  <si>
    <t>Atualizar membros do projeto</t>
  </si>
  <si>
    <t>Atualizar feriados</t>
  </si>
  <si>
    <t>Atualizar o gráfico Gantt</t>
  </si>
  <si>
    <t>Enviar por e-mail</t>
  </si>
  <si>
    <t>Ajustar as margens de impressão</t>
  </si>
  <si>
    <t>Pesquisa de satisfação</t>
  </si>
  <si>
    <t>Relatar um problema</t>
  </si>
  <si>
    <t>Ajuda</t>
  </si>
  <si>
    <t>Adição personalizada</t>
  </si>
  <si>
    <t>Dependências</t>
  </si>
  <si>
    <t>Comece com anterior</t>
  </si>
  <si>
    <t>Iniciar após anterior</t>
  </si>
  <si>
    <t>Comece com o próximo</t>
  </si>
  <si>
    <t>Comece após o próximo</t>
  </si>
  <si>
    <t>Dependência personalizada</t>
  </si>
  <si>
    <t>Planejar novamente com anterior</t>
  </si>
  <si>
    <t>Planejar novamente com o próximo</t>
  </si>
  <si>
    <t>Novo Gantt</t>
  </si>
  <si>
    <t>Inserir</t>
  </si>
  <si>
    <t>Excluir</t>
  </si>
  <si>
    <t>Opções</t>
  </si>
  <si>
    <t>Dias de fim de semana</t>
  </si>
  <si>
    <t>Primeiro dia da semana</t>
  </si>
  <si>
    <t>Atualizar lista de membros</t>
  </si>
  <si>
    <t>Orçamento Mostrar/Ocultar</t>
  </si>
  <si>
    <t>Comentários Mostrar/Ocultar</t>
  </si>
  <si>
    <t>Tela Cheia</t>
  </si>
  <si>
    <t>Ativar/Desativar Lembrete da Macro</t>
  </si>
  <si>
    <t>Atualizar</t>
  </si>
  <si>
    <t>Erro de Dependência</t>
  </si>
  <si>
    <t>Esta dependência não pode ser criada</t>
  </si>
  <si>
    <t>Escolher a partir de um calendário</t>
  </si>
  <si>
    <t>Ir para hoje:</t>
  </si>
  <si>
    <t>Data escolhida:</t>
  </si>
  <si>
    <t>Filtrar por membro</t>
  </si>
  <si>
    <t>Filtrar por progresso</t>
  </si>
  <si>
    <t>Não iniciado</t>
  </si>
  <si>
    <t>Não concluído</t>
  </si>
  <si>
    <t>Atraso</t>
  </si>
  <si>
    <t>Concluído</t>
  </si>
  <si>
    <t>Todos</t>
  </si>
  <si>
    <t>Limpar todos os filtros</t>
  </si>
  <si>
    <t>Etapas</t>
  </si>
  <si>
    <t>Renumerar totalmente</t>
  </si>
  <si>
    <t>Renumerar sub-tarefas</t>
  </si>
  <si>
    <t>Tarefa</t>
  </si>
  <si>
    <t>Sub-Tarefa</t>
  </si>
  <si>
    <t>Etapa</t>
  </si>
  <si>
    <t>Begindatum</t>
  </si>
  <si>
    <t>Kies de begindatum van de Gantt-grafiek</t>
  </si>
  <si>
    <t>Vandaag</t>
  </si>
  <si>
    <t>Auto</t>
  </si>
  <si>
    <t>Rode lijn</t>
  </si>
  <si>
    <t>Kies de datum die zal worden getoond met een rode lijn in de Gantt-grafiek</t>
  </si>
  <si>
    <t>Werkdagen</t>
  </si>
  <si>
    <t>Kies de werkdagen die van toepassing zijn op je project</t>
  </si>
  <si>
    <t>Weeksymbool</t>
  </si>
  <si>
    <t>Kies hoe je weeknummers wilt tonen</t>
  </si>
  <si>
    <t>Optioneel</t>
  </si>
  <si>
    <t>Toon budget</t>
  </si>
  <si>
    <t>Toon vlag</t>
  </si>
  <si>
    <t>Toon opmerkingen</t>
  </si>
  <si>
    <t>Herinnering om macro's in te schakelen bij het opstarten</t>
  </si>
  <si>
    <t>Weekenddagen:</t>
  </si>
  <si>
    <t>Eerste dag van de week:</t>
  </si>
  <si>
    <t>Gantt-stijl</t>
  </si>
  <si>
    <t>Kies de Gantt-stijl die je wilt gebruiken uit de dropdownlijst</t>
  </si>
  <si>
    <t>Standaardkleuren</t>
  </si>
  <si>
    <t>Blauwe set</t>
  </si>
  <si>
    <t>Paarse set</t>
  </si>
  <si>
    <t>Oranje set</t>
  </si>
  <si>
    <t>Roze set</t>
  </si>
  <si>
    <t>Een kleur per persoon</t>
  </si>
  <si>
    <t>Schema</t>
  </si>
  <si>
    <t>Leider</t>
  </si>
  <si>
    <t>Kleur</t>
  </si>
  <si>
    <t>Duur</t>
  </si>
  <si>
    <t>Duur herberekenen</t>
  </si>
  <si>
    <t>Vervaldatum</t>
  </si>
  <si>
    <t>Voortgang</t>
  </si>
  <si>
    <t>Actuele</t>
  </si>
  <si>
    <t>Opmerkingen</t>
  </si>
  <si>
    <t>Herberekend begin</t>
  </si>
  <si>
    <t>Herberekend einde</t>
  </si>
  <si>
    <t>Taakniveau</t>
  </si>
  <si>
    <t>Projecttitel</t>
  </si>
  <si>
    <t>Subtitel voor aanvullende details</t>
  </si>
  <si>
    <t>Bekijken</t>
  </si>
  <si>
    <t>Taal</t>
  </si>
  <si>
    <t>Type weergave</t>
  </si>
  <si>
    <t>Dagelijks</t>
  </si>
  <si>
    <t>Wekelijks</t>
  </si>
  <si>
    <t>Maandelijks</t>
  </si>
  <si>
    <t>Volledig scherm sluiten</t>
  </si>
  <si>
    <t>Bank-feestdagen en vakanties</t>
  </si>
  <si>
    <t>Teamleden</t>
  </si>
  <si>
    <t>Korte naam</t>
  </si>
  <si>
    <t>Volledige naam</t>
  </si>
  <si>
    <t>Bedrijf</t>
  </si>
  <si>
    <t>Afdeling</t>
  </si>
  <si>
    <t>Telefoon</t>
  </si>
  <si>
    <t>Januari</t>
  </si>
  <si>
    <t>Februari</t>
  </si>
  <si>
    <t>Maart</t>
  </si>
  <si>
    <t>Mei</t>
  </si>
  <si>
    <t>Juni</t>
  </si>
  <si>
    <t>Juli</t>
  </si>
  <si>
    <t>Augustus</t>
  </si>
  <si>
    <t>Oktober</t>
  </si>
  <si>
    <t>Alleen werkdagen</t>
  </si>
  <si>
    <t>Alle dagen gewerkt</t>
  </si>
  <si>
    <t>Zaterdag, Zondag</t>
  </si>
  <si>
    <t>Zondag, Maandag</t>
  </si>
  <si>
    <t>Maandag, Dinsdag</t>
  </si>
  <si>
    <t>Dinsdag, Woensdag</t>
  </si>
  <si>
    <t>Woensdag, Donderdag</t>
  </si>
  <si>
    <t>Donderdag, Vrijdag</t>
  </si>
  <si>
    <t>Vrijdag, Zaterdag</t>
  </si>
  <si>
    <t>Alleen zondag</t>
  </si>
  <si>
    <t>Alleen maandag</t>
  </si>
  <si>
    <t>Alleen dinsdag</t>
  </si>
  <si>
    <t>Alleen woensdag</t>
  </si>
  <si>
    <t>Alleen donderdag</t>
  </si>
  <si>
    <t>Alleen vrijdag</t>
  </si>
  <si>
    <t>Alleen zaterdag</t>
  </si>
  <si>
    <t>Maandag (ISO 8601)</t>
  </si>
  <si>
    <t>Maandag</t>
  </si>
  <si>
    <t>Dinsdag</t>
  </si>
  <si>
    <t>Woensdag</t>
  </si>
  <si>
    <t>Donderdag</t>
  </si>
  <si>
    <t>Vrijdag</t>
  </si>
  <si>
    <t>Zaterdag</t>
  </si>
  <si>
    <t>Zondag</t>
  </si>
  <si>
    <t>Deze handeling zal alleen de budget-kolommen verbergen.</t>
  </si>
  <si>
    <t>Gelieve alle gerelateerde velden volgens jouw vertrouwensbeleid te wissen.</t>
  </si>
  <si>
    <t>Waarschuwing vertrouwelijkheid</t>
  </si>
  <si>
    <t>Taak/taken verwijderen</t>
  </si>
  <si>
    <t>Taak/taken verwijderen kan niet worden geannuleerd</t>
  </si>
  <si>
    <t>Ontvangers vooraf invoeren</t>
  </si>
  <si>
    <t>Wil je dat de ontvangers uit de ledenlijst van het project vooraf worden ingevuld?</t>
  </si>
  <si>
    <t>[Vertrouwelijk] Nieuwste update van projectschema</t>
  </si>
  <si>
    <t>Gratis versie</t>
  </si>
  <si>
    <t>Deze functie is niet beschikbaar in de gratis versie van de Excel Gantt Chart Maker.</t>
  </si>
  <si>
    <t>Download de PRO-versie en ontdek exclusieve functies.</t>
  </si>
  <si>
    <t>Upgrade vandaag nog naar PRO !</t>
  </si>
  <si>
    <t>Met de STARTER-versie heb je niet meer dan 100 rijen tot je beschikking.</t>
  </si>
  <si>
    <t>Download de PRO-versie om deze beperking te verwijderen en ontdek andere exclusieve functies.</t>
  </si>
  <si>
    <t>Nieuwe taken toevoegen</t>
  </si>
  <si>
    <t>Aantal rijen:</t>
  </si>
  <si>
    <t>Locatie:</t>
  </si>
  <si>
    <t>Opties:</t>
  </si>
  <si>
    <t>Annuleren</t>
  </si>
  <si>
    <t>TOEVOEGEN</t>
  </si>
  <si>
    <t>Onder de laatste rij</t>
  </si>
  <si>
    <t>Onder de geselecteerde rij</t>
  </si>
  <si>
    <t>Boven de geselecteerde rij</t>
  </si>
  <si>
    <t>Taak-koptekst invoegen</t>
  </si>
  <si>
    <t>De gehele serie nummeren</t>
  </si>
  <si>
    <t>Over</t>
  </si>
  <si>
    <t>Je hebt versie 8.2 PRO</t>
  </si>
  <si>
    <t>Als je dit bestand hebt ontvangen van een derde partij en het wilt gebruiken voor je eigen projecten, nodigen wij je uit om jouw persoonlijke kopie te kopen.</t>
  </si>
  <si>
    <t>Koop je eigen kopie</t>
  </si>
  <si>
    <t>Afhankelijkheid toevoegen</t>
  </si>
  <si>
    <t>Taak 1 (geselecteerde taak):</t>
  </si>
  <si>
    <t>Taak 2:</t>
  </si>
  <si>
    <t>Soort afhankelijkheid:</t>
  </si>
  <si>
    <t>Taak 1 begint na taak 2</t>
  </si>
  <si>
    <t>Taak 1 begint met taak 2</t>
  </si>
  <si>
    <t>Taak 2 begint na taak 1</t>
  </si>
  <si>
    <t>Taak 1 in retroplanning met taak 2</t>
  </si>
  <si>
    <t>Taak 2 in retroplanning met taak 1</t>
  </si>
  <si>
    <t>GANTT-MENU</t>
  </si>
  <si>
    <t>Invoegen...</t>
  </si>
  <si>
    <t>Laatste in deze serie</t>
  </si>
  <si>
    <t>Verwijderen...</t>
  </si>
  <si>
    <t>Verwijder de taak</t>
  </si>
  <si>
    <t>Verwijder de serie</t>
  </si>
  <si>
    <t>Bewerken...</t>
  </si>
  <si>
    <t>Degraderen</t>
  </si>
  <si>
    <t>Promoveren</t>
  </si>
  <si>
    <t>Omhoog verplaatsen</t>
  </si>
  <si>
    <t>Omlaag verplaatsen</t>
  </si>
  <si>
    <t>Nummering</t>
  </si>
  <si>
    <t>Toon dagelijks</t>
  </si>
  <si>
    <t>Toon wekelijks</t>
  </si>
  <si>
    <t>Toon maandelijks</t>
  </si>
  <si>
    <t>Hulpmiddelen</t>
  </si>
  <si>
    <t>Update projectleden</t>
  </si>
  <si>
    <t>Update feestdagen</t>
  </si>
  <si>
    <t>Gantt-grafiek verversen</t>
  </si>
  <si>
    <t>Sturen via e-mail</t>
  </si>
  <si>
    <t>Afdrukmarges aanpassen</t>
  </si>
  <si>
    <t>Tevredenheidsonderzoek</t>
  </si>
  <si>
    <t>Meld een probleem</t>
  </si>
  <si>
    <t>Aangepaste toevoeging</t>
  </si>
  <si>
    <t>Stijl</t>
  </si>
  <si>
    <t>Afhankelijkheden</t>
  </si>
  <si>
    <t>Begin met de vorige</t>
  </si>
  <si>
    <t>Begin na de vorige</t>
  </si>
  <si>
    <t>Begin met de volgende</t>
  </si>
  <si>
    <t>Begin na de volgende</t>
  </si>
  <si>
    <t>Aangepaste afhankelijkheid</t>
  </si>
  <si>
    <t>Retroplanning met vorige</t>
  </si>
  <si>
    <t>Retroplanning met volgende</t>
  </si>
  <si>
    <t>Bediening</t>
  </si>
  <si>
    <t>Nieuwe Gantt</t>
  </si>
  <si>
    <t>Invoegen</t>
  </si>
  <si>
    <t>Verwijderen</t>
  </si>
  <si>
    <t>Bewerken</t>
  </si>
  <si>
    <t>Opties</t>
  </si>
  <si>
    <t>Weekenddagen</t>
  </si>
  <si>
    <t>Eerste dag van de week</t>
  </si>
  <si>
    <t>Ledenlijst bijwerken</t>
  </si>
  <si>
    <t>Toon/Verberg budget</t>
  </si>
  <si>
    <t>Toon/Verberg opmerkingen</t>
  </si>
  <si>
    <t>Volledig scherm</t>
  </si>
  <si>
    <t>Macro-herinnering uitschakelen/inschakelen</t>
  </si>
  <si>
    <t>Verversen</t>
  </si>
  <si>
    <t>Afhankelijkheidsfout</t>
  </si>
  <si>
    <t>Deze afhankelijkheid kan niet worden aangemaakt</t>
  </si>
  <si>
    <t>Kies uit een kalender</t>
  </si>
  <si>
    <t>Ga naar vandaag:</t>
  </si>
  <si>
    <t>Gekozen datum:</t>
  </si>
  <si>
    <t>Filter op lid</t>
  </si>
  <si>
    <t>Filter op voortgang</t>
  </si>
  <si>
    <t>Niet gestart</t>
  </si>
  <si>
    <t>Niet voltooid</t>
  </si>
  <si>
    <t>Vertraging</t>
  </si>
  <si>
    <t>Voltooid</t>
  </si>
  <si>
    <t>Alles</t>
  </si>
  <si>
    <t>Wis alle filters</t>
  </si>
  <si>
    <t>Mijlpalen</t>
  </si>
  <si>
    <t>Volledig opnieuw nummeren</t>
  </si>
  <si>
    <t>Subtaken opnieuw nummeren</t>
  </si>
  <si>
    <t>Taak</t>
  </si>
  <si>
    <t>Subtaak</t>
  </si>
  <si>
    <t>Mijlpaal</t>
  </si>
  <si>
    <t>Anfangsdatum</t>
  </si>
  <si>
    <t>Wählen Sie das Startdatum des Gantt-Diagramms</t>
  </si>
  <si>
    <t>Heute</t>
  </si>
  <si>
    <t>Wählen Sie das Datum, das mit einer roten Linie in dem Gantt-Diagramm angezeigt wird</t>
  </si>
  <si>
    <t>Wählen Sie die zutreffende Arbeitstage für Ihr Projekt</t>
  </si>
  <si>
    <t>Wählen Sie, wie die Wochennummern angezeigt werden sollen</t>
  </si>
  <si>
    <t>Flagge zeigen</t>
  </si>
  <si>
    <t>Kommentare anzeigen</t>
  </si>
  <si>
    <t xml:space="preserve">Erinnerung, Makros beim Start-up zu ermöglichen </t>
  </si>
  <si>
    <t>Wochenendtage:</t>
  </si>
  <si>
    <t>Wählen Sie das Gantt-Stil aus der Drop-down-Liste, das Sie verwenden möchten</t>
  </si>
  <si>
    <t>Standardfarben</t>
  </si>
  <si>
    <t>Blau-Set</t>
  </si>
  <si>
    <t>Lila-Set</t>
  </si>
  <si>
    <t>Orange-Set</t>
  </si>
  <si>
    <t>Rosa-Set</t>
  </si>
  <si>
    <t>Leiter</t>
  </si>
  <si>
    <t>Rückrufe Dauer</t>
  </si>
  <si>
    <t>Fällig</t>
  </si>
  <si>
    <t>Fortschritt</t>
  </si>
  <si>
    <t>Abonnement</t>
  </si>
  <si>
    <t>Aktuell</t>
  </si>
  <si>
    <t>Neu berechneter Start</t>
  </si>
  <si>
    <t>Neu berechnete Ende</t>
  </si>
  <si>
    <t>Task-Ebene</t>
  </si>
  <si>
    <t>Projekttitel</t>
  </si>
  <si>
    <t>Untertitel für weitere Details</t>
  </si>
  <si>
    <t>Ansehen</t>
  </si>
  <si>
    <t>Vollbild-Modus verlassen</t>
  </si>
  <si>
    <t>Feiertage &amp; Urlaub</t>
  </si>
  <si>
    <t>Team-Mitglieder</t>
  </si>
  <si>
    <t>Kurzname</t>
  </si>
  <si>
    <t>Firma</t>
  </si>
  <si>
    <t>Bereich</t>
  </si>
  <si>
    <t>Nur Arbeitstage</t>
  </si>
  <si>
    <t>Alle Arbeitstage</t>
  </si>
  <si>
    <t>Nur Sonntag</t>
  </si>
  <si>
    <t>Nur Montag</t>
  </si>
  <si>
    <t>Nur Dienstag</t>
  </si>
  <si>
    <t>Nur Mittwoch</t>
  </si>
  <si>
    <t>Nur Donnerstag</t>
  </si>
  <si>
    <t>Nur Freitag</t>
  </si>
  <si>
    <t>Nur Samstag</t>
  </si>
  <si>
    <t>Dieser Vorgang wird nur die Budget-Spalten verstecken.</t>
  </si>
  <si>
    <t>Bitte löschen Sie alle verwandten Bereichen entsprechend Ihrer Datenschutzerklärung.</t>
  </si>
  <si>
    <t>Vertraulichkeit</t>
  </si>
  <si>
    <t xml:space="preserve">Aufgabe(n) löschen </t>
  </si>
  <si>
    <t>Gelöschte Aufgaben können nicht storniert werden</t>
  </si>
  <si>
    <t>Die Empfänger vorfüllen</t>
  </si>
  <si>
    <t>Möchten Sie die Empfänger aus dem Projekt-Benutzerliste vorfüllen?</t>
  </si>
  <si>
    <t>[Vertraulich] Die neueste Aktualisierung von Projektplan</t>
  </si>
  <si>
    <t>Kostenlose Version</t>
  </si>
  <si>
    <t>Diese Funktion ist in der kostenlosen Version des Excel Gantt Chart Makers nicht verfügbar.</t>
  </si>
  <si>
    <t>Laden Sie die PRO-Version herunter und entdecken Sie exklusive Features.</t>
  </si>
  <si>
    <t>Heute auf PRO aktualisieren!</t>
  </si>
  <si>
    <t>Mit der STARTER-Version können Sie nicht 100 Zeilen überschreiten.</t>
  </si>
  <si>
    <t>Laden Sie die PRO-Version herunter, um diese Einschränkung zu entfernen, und andere exklusive Features zu entdecken.</t>
  </si>
  <si>
    <t>Fügen Sie neue Aufgaben hinzu</t>
  </si>
  <si>
    <t xml:space="preserve">Anzahl der Zeilen: </t>
  </si>
  <si>
    <t>Abbrechen</t>
  </si>
  <si>
    <t>Hinzufügen</t>
  </si>
  <si>
    <t>Unterhalb der letzten Reihe</t>
  </si>
  <si>
    <t>Unterhalb der ausgewählten Zeile</t>
  </si>
  <si>
    <t>Oberhalb der ausgewählten Zeile</t>
  </si>
  <si>
    <t>Plankopf einfügen</t>
  </si>
  <si>
    <t>Alle Serien nummerieren</t>
  </si>
  <si>
    <t>Wenn Sie diese Datei von einem Dritten erhalten haben und möchten sie für Ihre eigenen Projekte nutzen, laden wir Sie ein, Ihr persönliches Exemplar zu erwerben.</t>
  </si>
  <si>
    <t>Kaufen Sie Ihre eigenen Kopie</t>
  </si>
  <si>
    <t>Abhängigkeit definieren</t>
  </si>
  <si>
    <t>Aufgabe 1 beginnt nach Aufgabe 2</t>
  </si>
  <si>
    <t>Aufgabe 2 beginnt nach Aufgabe 1</t>
  </si>
  <si>
    <t>Aufgabe 1 in Retroplanning mit Aufgabe 2</t>
  </si>
  <si>
    <t>Aufgabe 2 in Retroplanning mit Aufgabe 1</t>
  </si>
  <si>
    <t>GANTT-MENÜ</t>
  </si>
  <si>
    <t>Einfügen...</t>
  </si>
  <si>
    <t>Zuletzt in dieser Serie</t>
  </si>
  <si>
    <t>Löschen...</t>
  </si>
  <si>
    <t>Aufgabenliste löschen</t>
  </si>
  <si>
    <t>Löschen Sie die Serie</t>
  </si>
  <si>
    <t>Ändern...</t>
  </si>
  <si>
    <t>Herabstufen</t>
  </si>
  <si>
    <t>Werben</t>
  </si>
  <si>
    <t>Aufwärts bewegen</t>
  </si>
  <si>
    <t>Abwärts bewegen</t>
  </si>
  <si>
    <t>Täglich zeigen</t>
  </si>
  <si>
    <t>Wöchentlich zeigen</t>
  </si>
  <si>
    <t>Monatlich zeigen</t>
  </si>
  <si>
    <t>Projektmitglieder aktualisieren</t>
  </si>
  <si>
    <t>Urlaub aktualisieren</t>
  </si>
  <si>
    <t>Gantt-Diagramm aktualisieren</t>
  </si>
  <si>
    <t>Per E-Mail senden</t>
  </si>
  <si>
    <t>Druckränder einstellen</t>
  </si>
  <si>
    <t>Zufriedenheitsstudie</t>
  </si>
  <si>
    <t>Kundenspezifischer Zusatz</t>
  </si>
  <si>
    <t>Beginnen Sie mit dem nächsten</t>
  </si>
  <si>
    <t>Kundenspezifische Abhängigkeit</t>
  </si>
  <si>
    <t>Retroplanning mit früheren</t>
  </si>
  <si>
    <t>Retroplanning mit dem nächsten</t>
  </si>
  <si>
    <t>Bedienelemente</t>
  </si>
  <si>
    <t>Neues Gantt</t>
  </si>
  <si>
    <t>Wochenendtage</t>
  </si>
  <si>
    <t>Mitglieder-Liste aktualisieren</t>
  </si>
  <si>
    <t>Budget anzeigen/verstecken</t>
  </si>
  <si>
    <t>Kommentare ein-/ausblenden</t>
  </si>
  <si>
    <t>Makro-Erinnerung deaktivieren / aktivieren</t>
  </si>
  <si>
    <t>Aktualisieren</t>
  </si>
  <si>
    <t>Abhängigkeitsfehler</t>
  </si>
  <si>
    <t>Wählen Sie aus einem Kalender</t>
  </si>
  <si>
    <t>Zum heute:</t>
  </si>
  <si>
    <t>Filtern nach Mitglied</t>
  </si>
  <si>
    <t>Filtern nach Fortschritt</t>
  </si>
  <si>
    <t>Nicht begonnen</t>
  </si>
  <si>
    <t>Nicht vervollständigt</t>
  </si>
  <si>
    <t>Verzögerung</t>
  </si>
  <si>
    <t>Abgeschlossen</t>
  </si>
  <si>
    <t>Alle</t>
  </si>
  <si>
    <t>Alle Filter löschen</t>
  </si>
  <si>
    <t>Meilensteine</t>
  </si>
  <si>
    <t>Vollständig erneut nummerieren</t>
  </si>
  <si>
    <t>Teilaufgaben erneut nummerieren</t>
  </si>
  <si>
    <t>Inicio recalculado</t>
  </si>
  <si>
    <t>Nivel de tareas</t>
  </si>
  <si>
    <t>Tipo de visualización</t>
  </si>
  <si>
    <t>La eliminación de tareas no puede ser cancelada</t>
  </si>
  <si>
    <t>Descargue la versión PRO con el fin de eliminar esta limitación y descubrir otras características exclusivas.</t>
  </si>
  <si>
    <t>Número de filas:</t>
  </si>
  <si>
    <t>Ubicación:</t>
  </si>
  <si>
    <t>Después de la última fila</t>
  </si>
  <si>
    <t>Numerar las series</t>
  </si>
  <si>
    <t>Compre su propia copia</t>
  </si>
  <si>
    <t>Tarea 1 inicia después de tarea 2</t>
  </si>
  <si>
    <t xml:space="preserve">Tarea 1 comienza con tarea 2 </t>
  </si>
  <si>
    <t>Tarea 2 comienza después de tarea 1</t>
  </si>
  <si>
    <t>Tarea 1 en retroplaneación con tarea 2</t>
  </si>
  <si>
    <t>Tarea 2 en retroplaneación con tarea 1</t>
  </si>
  <si>
    <t xml:space="preserve">MENÚ DE GANTT </t>
  </si>
  <si>
    <t>Última en esta serie</t>
  </si>
  <si>
    <t>Eliminar tarea</t>
  </si>
  <si>
    <t>Eliminar serie</t>
  </si>
  <si>
    <t>Bajar</t>
  </si>
  <si>
    <t xml:space="preserve">Elevar </t>
  </si>
  <si>
    <t>Mover hacia arriba</t>
  </si>
  <si>
    <t>Herramientas</t>
  </si>
  <si>
    <t>Actualizar los miembros del proyecto</t>
  </si>
  <si>
    <t>Refrescar diagrama de Gantt</t>
  </si>
  <si>
    <t>Enviar por correo electrónico</t>
  </si>
  <si>
    <t>Ayuda</t>
  </si>
  <si>
    <t>Adición personalizada</t>
  </si>
  <si>
    <t>Comenzar con anterior</t>
  </si>
  <si>
    <t>Comenzar después de la anterior</t>
  </si>
  <si>
    <t>Comenzar con la siguiente</t>
  </si>
  <si>
    <t>Comenzar después de la siguiente</t>
  </si>
  <si>
    <t>Retroplaneación con anterior</t>
  </si>
  <si>
    <t>Retroplaneación con siguiente</t>
  </si>
  <si>
    <t>Nuevo Gantt</t>
  </si>
  <si>
    <t xml:space="preserve">Habilitar / Deshabilitar recordar macros </t>
  </si>
  <si>
    <t>Ir a hoy:</t>
  </si>
  <si>
    <t>Filtrar por miembro</t>
  </si>
  <si>
    <t>No iniciado</t>
  </si>
  <si>
    <t>No completado</t>
  </si>
  <si>
    <t xml:space="preserve">Completado </t>
  </si>
  <si>
    <t>Fields for stats</t>
  </si>
  <si>
    <t>Link to survey</t>
  </si>
  <si>
    <t>PC-lang_img5</t>
  </si>
  <si>
    <t>PC-lang_img6</t>
  </si>
  <si>
    <t>mac-lang_img5</t>
  </si>
  <si>
    <t>mac-lang_img6</t>
  </si>
  <si>
    <t>Favourite Zoom Size</t>
  </si>
  <si>
    <t>Zoom_In</t>
  </si>
  <si>
    <t>Zoom_Out</t>
  </si>
  <si>
    <t>Zoom_Fav</t>
  </si>
  <si>
    <t>Zoom_Set</t>
  </si>
  <si>
    <t>Zoom in</t>
  </si>
  <si>
    <t>Zoom out</t>
  </si>
  <si>
    <t>Zoom_Fav2</t>
  </si>
  <si>
    <t>View_Quarter</t>
  </si>
  <si>
    <t>Quarter</t>
  </si>
  <si>
    <t>Not Yet</t>
  </si>
  <si>
    <t>Agrandir</t>
  </si>
  <si>
    <t>Réduire</t>
  </si>
  <si>
    <t>Personnalisé</t>
  </si>
  <si>
    <t>Trimestre</t>
  </si>
  <si>
    <t>Fav. Zoom</t>
  </si>
  <si>
    <t>Apply favourite zoom</t>
  </si>
  <si>
    <t>Appliquer zoom favoris</t>
  </si>
  <si>
    <t>Vergroten</t>
  </si>
  <si>
    <t>Verminderen</t>
  </si>
  <si>
    <t>Gewoonte</t>
  </si>
  <si>
    <t>Kwartaal</t>
  </si>
  <si>
    <t>trimestre</t>
  </si>
  <si>
    <t>Ampliar</t>
  </si>
  <si>
    <t>Reduzir</t>
  </si>
  <si>
    <t>Personalizado</t>
  </si>
  <si>
    <t>Brauch</t>
  </si>
  <si>
    <t>Quartal</t>
  </si>
  <si>
    <t>Reduzieren</t>
  </si>
  <si>
    <t>Vergrößern</t>
  </si>
  <si>
    <t>Agrandar</t>
  </si>
  <si>
    <t>Reducir</t>
  </si>
  <si>
    <t>Costumbre</t>
  </si>
  <si>
    <t>Aplicar zoom favorito</t>
  </si>
  <si>
    <t>Salvar</t>
  </si>
  <si>
    <t>Sparen</t>
  </si>
  <si>
    <t>Anwenden Favoriten</t>
  </si>
  <si>
    <t>Registro</t>
  </si>
  <si>
    <t>Aplicar favoritos zoom</t>
  </si>
  <si>
    <t>Opnemen</t>
  </si>
  <si>
    <t>Solliciteer zoom favorieten</t>
  </si>
  <si>
    <t>Enregistrer zoom actuel</t>
  </si>
  <si>
    <t>Save the current zoom</t>
  </si>
  <si>
    <t>Below</t>
  </si>
  <si>
    <t>Red_Bookmark</t>
  </si>
  <si>
    <t>Criss Cross</t>
  </si>
  <si>
    <t>Criss_Cross</t>
  </si>
  <si>
    <t>Progress Line</t>
  </si>
  <si>
    <t>8.4 STARTER</t>
  </si>
  <si>
    <t>8.4.0</t>
  </si>
  <si>
    <t>MACE</t>
  </si>
  <si>
    <t>DELL</t>
  </si>
  <si>
    <t>Planning</t>
  </si>
  <si>
    <t>Resp.</t>
  </si>
  <si>
    <t>Début</t>
  </si>
  <si>
    <t>Durée</t>
  </si>
  <si>
    <t>Jours ouvrés</t>
  </si>
  <si>
    <t>Normal</t>
  </si>
  <si>
    <t>Échéance</t>
  </si>
  <si>
    <t>Statut</t>
  </si>
  <si>
    <t>Estim.</t>
  </si>
  <si>
    <t>Réel</t>
  </si>
  <si>
    <t>Commentaires</t>
  </si>
  <si>
    <t>Equipe projet</t>
  </si>
  <si>
    <t>Diminutif</t>
  </si>
  <si>
    <t>Nom complet</t>
  </si>
  <si>
    <t>Entreprise</t>
  </si>
  <si>
    <t>Téléphone</t>
  </si>
  <si>
    <t>Janvier</t>
  </si>
  <si>
    <t>Février</t>
  </si>
  <si>
    <t>Mars</t>
  </si>
  <si>
    <t>Avril</t>
  </si>
  <si>
    <t>Mai</t>
  </si>
  <si>
    <t>Juin</t>
  </si>
  <si>
    <t>Juillet</t>
  </si>
  <si>
    <t>Août</t>
  </si>
  <si>
    <t>Septembre</t>
  </si>
  <si>
    <t>Octobre</t>
  </si>
  <si>
    <t>Novembre</t>
  </si>
  <si>
    <t>Décembre</t>
  </si>
  <si>
    <t>Cette opération ne fera que masquer les colonnes liées au budget.</t>
  </si>
  <si>
    <t>Veuillez supprimer toutes les informations sensibles afin de respecter votre politique de confidentialité interne.</t>
  </si>
  <si>
    <t>Message de confidentialité</t>
  </si>
  <si>
    <t>Vous avez la version 8.4 STARTER</t>
  </si>
  <si>
    <t xml:space="preserve">Si vous avez reçu ce fichier d'une tierce personne et souhaitez l'utiliser pour vos projets, nous vous invitons à acquérir votre copie personnelle.
</t>
  </si>
  <si>
    <t>Date de départ</t>
  </si>
  <si>
    <t>Automatique</t>
  </si>
  <si>
    <t>Aujourd'hui</t>
  </si>
  <si>
    <t>Préfixe des semaines</t>
  </si>
  <si>
    <t>1.3</t>
  </si>
  <si>
    <t>PreProject</t>
  </si>
  <si>
    <t xml:space="preserve">Recueil des Besoins </t>
  </si>
  <si>
    <t>Redaction  du projet</t>
  </si>
  <si>
    <t>Base de données Mysql worbench</t>
  </si>
  <si>
    <t xml:space="preserve">Cahier des charges : </t>
  </si>
  <si>
    <t>2.3</t>
  </si>
  <si>
    <t>2.4</t>
  </si>
  <si>
    <t>2.5</t>
  </si>
  <si>
    <t>2.6</t>
  </si>
  <si>
    <t>2.7</t>
  </si>
  <si>
    <t>Présentation d’ensemble du projet</t>
  </si>
  <si>
    <t xml:space="preserve">Description graphique et ergonomie </t>
  </si>
  <si>
    <t>Description fonctionnelle</t>
  </si>
  <si>
    <t xml:space="preserve">Description technique </t>
  </si>
  <si>
    <t>Réalisation et recherche</t>
  </si>
  <si>
    <t xml:space="preserve">Référence et sources </t>
  </si>
  <si>
    <t>Annexes</t>
  </si>
  <si>
    <t xml:space="preserve">Arborescence  </t>
  </si>
  <si>
    <t>3.4</t>
  </si>
  <si>
    <t>3.5</t>
  </si>
  <si>
    <t xml:space="preserve">Création LOGO </t>
  </si>
  <si>
    <t>Maquettes Graphique (WIREFRAMES)</t>
  </si>
  <si>
    <t>Conception</t>
  </si>
  <si>
    <t>Developpement</t>
  </si>
  <si>
    <t>Debug</t>
  </si>
  <si>
    <t>4.5</t>
  </si>
  <si>
    <t>4.6</t>
  </si>
  <si>
    <t>4.7</t>
  </si>
  <si>
    <t>4.8</t>
  </si>
  <si>
    <t>4.9</t>
  </si>
  <si>
    <t>4.10</t>
  </si>
  <si>
    <t>4.11</t>
  </si>
  <si>
    <t xml:space="preserve">Installation Symfony </t>
  </si>
  <si>
    <t xml:space="preserve">Création base de données </t>
  </si>
  <si>
    <t>Création des entités (make :entity)</t>
  </si>
  <si>
    <t>Création des fixtures</t>
  </si>
  <si>
    <t xml:space="preserve">Création des Création des routes et contrôleur </t>
  </si>
  <si>
    <t>Installation de doctrine</t>
  </si>
  <si>
    <t xml:space="preserve">Gestion des utilisateurs  </t>
  </si>
  <si>
    <t xml:space="preserve">Connexion/Déconnection </t>
  </si>
  <si>
    <t xml:space="preserve">Administration (Easyadmin ?) </t>
  </si>
  <si>
    <t>Sécurisation Administration</t>
  </si>
  <si>
    <t xml:space="preserve">Front end / CSS </t>
  </si>
  <si>
    <t>Correction orthographique (1 J )</t>
  </si>
  <si>
    <t>Révisions / Préparation (1 J )</t>
  </si>
  <si>
    <t>Personna</t>
  </si>
  <si>
    <t>4.12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</si>
</sst>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yy"/>
    <numFmt numFmtId="165" formatCode="dd"/>
    <numFmt numFmtId="166" formatCode="ddd"/>
    <numFmt numFmtId="167" formatCode="mmmm"/>
    <numFmt numFmtId="168" formatCode="[$$-409]#,##0;[$$-409]#,##0"/>
    <numFmt numFmtId="169" formatCode="0_);[Red]\(0\)"/>
  </numFmts>
  <fonts count="56">
    <font>
      <sz val="10"/>
      <name val="Arial"/>
    </font>
    <font>
      <sz val="11"/>
      <color theme="1"/>
      <name val="Calibri"/>
      <family val="2"/>
      <charset val="128"/>
      <scheme val="minor"/>
    </font>
    <font>
      <sz val="8"/>
      <name val="Arial"/>
      <family val="2"/>
    </font>
    <font>
      <b/>
      <sz val="7"/>
      <name val="Arial"/>
      <family val="2"/>
    </font>
    <font>
      <sz val="12"/>
      <name val="Arial"/>
      <family val="2"/>
    </font>
    <font>
      <sz val="9"/>
      <name val="Arial"/>
      <family val="2"/>
    </font>
    <font>
      <sz val="10"/>
      <name val="Arial"/>
      <family val="2"/>
    </font>
    <font>
      <sz val="7"/>
      <name val="Arial"/>
      <family val="2"/>
    </font>
    <font>
      <sz val="8"/>
      <color theme="0"/>
      <name val="Arial"/>
      <family val="2"/>
    </font>
    <font>
      <sz val="9"/>
      <color theme="0"/>
      <name val="Arial"/>
      <family val="2"/>
    </font>
    <font>
      <b/>
      <sz val="11"/>
      <name val="Arial"/>
      <family val="2"/>
    </font>
    <font>
      <sz val="11"/>
      <name val="Arial"/>
      <family val="2"/>
    </font>
    <font>
      <b/>
      <sz val="8"/>
      <name val="Arial"/>
      <family val="2"/>
    </font>
    <font>
      <sz val="6"/>
      <name val="ＭＳ Ｐゴシック"/>
      <family val="3"/>
      <charset val="128"/>
    </font>
    <font>
      <b/>
      <i/>
      <sz val="8"/>
      <name val="Arial"/>
      <family val="2"/>
    </font>
    <font>
      <sz val="9"/>
      <color rgb="FF3B5998"/>
      <name val="Arial"/>
      <family val="2"/>
    </font>
    <font>
      <sz val="10"/>
      <name val="Franklin Gothic Book"/>
      <family val="2"/>
    </font>
    <font>
      <sz val="11"/>
      <name val="Franklin Gothic Book"/>
      <family val="2"/>
    </font>
    <font>
      <b/>
      <sz val="11"/>
      <name val="Franklin Gothic Book"/>
      <family val="2"/>
    </font>
    <font>
      <b/>
      <sz val="9"/>
      <name val="Arial"/>
      <family val="2"/>
    </font>
    <font>
      <b/>
      <u/>
      <sz val="10"/>
      <name val="Arial"/>
      <family val="2"/>
    </font>
    <font>
      <b/>
      <sz val="9"/>
      <color indexed="81"/>
      <name val="Tahoma"/>
      <family val="2"/>
    </font>
    <font>
      <sz val="10"/>
      <name val="Arial"/>
      <family val="2"/>
    </font>
    <font>
      <i/>
      <sz val="8"/>
      <name val="Arial"/>
      <family val="2"/>
    </font>
    <font>
      <i/>
      <sz val="8"/>
      <color theme="0" tint="-0.249977111117893"/>
      <name val="Arial"/>
      <family val="2"/>
    </font>
    <font>
      <b/>
      <sz val="6"/>
      <name val="Arial"/>
      <family val="2"/>
    </font>
    <font>
      <b/>
      <sz val="14"/>
      <name val="Franklin Gothic Book"/>
      <family val="2"/>
    </font>
    <font>
      <sz val="10"/>
      <color rgb="FFFF0000"/>
      <name val="Arial"/>
      <family val="2"/>
    </font>
    <font>
      <sz val="8"/>
      <name val="Franklin Gothic Book"/>
      <family val="2"/>
    </font>
    <font>
      <b/>
      <u/>
      <sz val="12"/>
      <name val="Arial"/>
      <family val="2"/>
    </font>
    <font>
      <b/>
      <sz val="10"/>
      <name val="Arial"/>
      <family val="2"/>
    </font>
    <font>
      <sz val="10"/>
      <color rgb="FF4D4D4D"/>
      <name val="Arial"/>
      <family val="2"/>
    </font>
    <font>
      <sz val="11"/>
      <color rgb="FF44A048"/>
      <name val="Arial"/>
      <family val="2"/>
    </font>
    <font>
      <sz val="14"/>
      <name val="Franklin Gothic Book"/>
      <family val="2"/>
    </font>
    <font>
      <sz val="11"/>
      <color rgb="FFFF0000"/>
      <name val="Arial"/>
      <family val="2"/>
    </font>
    <font>
      <sz val="10"/>
      <color rgb="FFFF0000"/>
      <name val="Franklin Gothic Book"/>
      <family val="2"/>
    </font>
    <font>
      <sz val="9.5"/>
      <color rgb="FFFF0000"/>
      <name val="Arial"/>
      <family val="2"/>
    </font>
    <font>
      <sz val="9.5"/>
      <color rgb="FFFFFFFF"/>
      <name val="Arial"/>
      <family val="2"/>
    </font>
    <font>
      <u/>
      <sz val="10"/>
      <color theme="10"/>
      <name val="Arial"/>
      <family val="2"/>
    </font>
    <font>
      <u/>
      <sz val="10"/>
      <color theme="11"/>
      <name val="Arial"/>
      <family val="2"/>
    </font>
    <font>
      <sz val="12"/>
      <name val="Franklin Gothic Book"/>
      <family val="2"/>
    </font>
    <font>
      <b/>
      <sz val="12"/>
      <name val="Franklin Gothic Book"/>
      <family val="2"/>
    </font>
    <font>
      <sz val="12"/>
      <color theme="1" tint="0.499984740745262"/>
      <name val="Arial Narrow"/>
      <family val="2"/>
    </font>
    <font>
      <sz val="12"/>
      <color theme="1" tint="0.499984740745262"/>
      <name val="Wingdings"/>
      <charset val="2"/>
    </font>
    <font>
      <sz val="10"/>
      <name val="Arial Narrow"/>
      <family val="2"/>
    </font>
    <font>
      <sz val="8"/>
      <name val="Arial Narrow"/>
      <family val="2"/>
    </font>
    <font>
      <sz val="5"/>
      <name val="Arial Narrow"/>
      <family val="2"/>
    </font>
    <font>
      <i/>
      <sz val="8"/>
      <color theme="0" tint="-0.499984740745262"/>
      <name val="Arial"/>
      <family val="2"/>
    </font>
    <font>
      <sz val="10"/>
      <color rgb="FF222222"/>
      <name val="Arial"/>
      <family val="2"/>
    </font>
    <font>
      <sz val="10"/>
      <color rgb="FF000000"/>
      <name val="Arial"/>
      <family val="2"/>
    </font>
    <font>
      <u/>
      <sz val="10"/>
      <color theme="10"/>
      <name val="Arial"/>
      <family val="2"/>
    </font>
    <font>
      <i/>
      <sz val="8"/>
      <color theme="0" tint="-0.34998626667073579"/>
      <name val="Arial"/>
      <family val="2"/>
    </font>
    <font>
      <sz val="10"/>
      <color theme="0"/>
      <name val="Arial"/>
      <family val="2"/>
    </font>
    <font>
      <b/>
      <sz val="10"/>
      <color rgb="FFFF0000"/>
      <name val="Arial"/>
      <family val="2"/>
    </font>
    <font>
      <sz val="8"/>
      <color theme="0" tint="-0.34998626667073579"/>
      <name val="Arial"/>
      <family val="2"/>
    </font>
    <font>
      <i/>
      <sz val="10"/>
      <name val="Arial"/>
      <family val="2"/>
    </font>
  </fonts>
  <fills count="24">
    <fill>
      <patternFill patternType="none"/>
    </fill>
    <fill>
      <patternFill patternType="gray125"/>
    </fill>
    <fill>
      <patternFill patternType="solid">
        <fgColor indexed="9"/>
        <bgColor indexed="64"/>
      </patternFill>
    </fill>
    <fill>
      <patternFill patternType="solid">
        <fgColor indexed="9"/>
        <bgColor indexed="46"/>
      </patternFill>
    </fill>
    <fill>
      <patternFill patternType="solid">
        <fgColor theme="0"/>
        <bgColor indexed="64"/>
      </patternFill>
    </fill>
    <fill>
      <patternFill patternType="solid">
        <fgColor theme="2" tint="-9.9978637043366805E-2"/>
        <bgColor indexed="64"/>
      </patternFill>
    </fill>
    <fill>
      <patternFill patternType="solid">
        <fgColor theme="2" tint="-9.9978637043366805E-2"/>
        <bgColor indexed="46"/>
      </patternFill>
    </fill>
    <fill>
      <patternFill patternType="solid">
        <fgColor theme="0" tint="-0.14999847407452621"/>
        <bgColor indexed="64"/>
      </patternFill>
    </fill>
    <fill>
      <patternFill patternType="solid">
        <fgColor theme="6" tint="0.59999389629810485"/>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EA005F"/>
        <bgColor indexed="64"/>
      </patternFill>
    </fill>
    <fill>
      <patternFill patternType="solid">
        <fgColor theme="0" tint="-4.9989318521683403E-2"/>
        <bgColor indexed="64"/>
      </patternFill>
    </fill>
    <fill>
      <patternFill patternType="solid">
        <fgColor rgb="FF10DA1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DD9C4"/>
        <bgColor indexed="64"/>
      </patternFill>
    </fill>
    <fill>
      <patternFill patternType="solid">
        <fgColor theme="5" tint="0.59999389629810485"/>
        <bgColor indexed="64"/>
      </patternFill>
    </fill>
    <fill>
      <patternFill patternType="solid">
        <fgColor theme="9" tint="0.39997558519241921"/>
        <bgColor indexed="64"/>
      </patternFill>
    </fill>
    <fill>
      <patternFill patternType="darkUp">
        <fgColor theme="0"/>
        <bgColor theme="5" tint="0.59996337778862885"/>
      </patternFill>
    </fill>
    <fill>
      <patternFill patternType="solid">
        <fgColor theme="2"/>
        <bgColor indexed="64"/>
      </patternFill>
    </fill>
  </fills>
  <borders count="67">
    <border>
      <left/>
      <right/>
      <top/>
      <bottom/>
      <diagonal/>
    </border>
    <border>
      <left style="thin">
        <color indexed="55"/>
      </left>
      <right style="thin">
        <color indexed="55"/>
      </right>
      <top/>
      <bottom/>
      <diagonal/>
    </border>
    <border>
      <left style="thin">
        <color auto="1"/>
      </left>
      <right style="thin">
        <color auto="1"/>
      </right>
      <top style="thin">
        <color auto="1"/>
      </top>
      <bottom style="thin">
        <color auto="1"/>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right/>
      <top/>
      <bottom style="medium">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thin">
        <color theme="0" tint="-0.24994659260841701"/>
      </bottom>
      <diagonal/>
    </border>
    <border>
      <left/>
      <right style="thin">
        <color auto="1"/>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auto="1"/>
      </right>
      <top style="thin">
        <color theme="0" tint="-0.24994659260841701"/>
      </top>
      <bottom style="thin">
        <color auto="1"/>
      </bottom>
      <diagonal/>
    </border>
    <border>
      <left style="thin">
        <color auto="1"/>
      </left>
      <right style="thin">
        <color auto="1"/>
      </right>
      <top style="thin">
        <color theme="0" tint="-0.34998626667073579"/>
      </top>
      <bottom style="thin">
        <color theme="0" tint="-0.34998626667073579"/>
      </bottom>
      <diagonal/>
    </border>
    <border>
      <left style="thin">
        <color auto="1"/>
      </left>
      <right style="thin">
        <color auto="1"/>
      </right>
      <top style="thin">
        <color theme="0" tint="-0.34998626667073579"/>
      </top>
      <bottom style="thin">
        <color auto="1"/>
      </bottom>
      <diagonal/>
    </border>
    <border>
      <left style="thin">
        <color theme="0" tint="-0.34998626667073579"/>
      </left>
      <right/>
      <top/>
      <bottom/>
      <diagonal/>
    </border>
    <border>
      <left/>
      <right style="thin">
        <color theme="0" tint="-0.34998626667073579"/>
      </right>
      <top/>
      <bottom/>
      <diagonal/>
    </border>
    <border>
      <left/>
      <right style="thin">
        <color indexed="55"/>
      </right>
      <top/>
      <bottom/>
      <diagonal/>
    </border>
    <border>
      <left/>
      <right style="thin">
        <color indexed="55"/>
      </right>
      <top/>
      <bottom style="thin">
        <color theme="0" tint="-0.2499465926084170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theme="0" tint="-0.34998626667073579"/>
      </bottom>
      <diagonal/>
    </border>
    <border>
      <left style="thin">
        <color auto="1"/>
      </left>
      <right/>
      <top style="thin">
        <color auto="1"/>
      </top>
      <bottom/>
      <diagonal/>
    </border>
    <border>
      <left/>
      <right style="thin">
        <color auto="1"/>
      </right>
      <top style="thin">
        <color auto="1"/>
      </top>
      <bottom/>
      <diagonal/>
    </border>
    <border>
      <left style="medium">
        <color rgb="FFEA005F"/>
      </left>
      <right/>
      <top style="medium">
        <color rgb="FFEA005F"/>
      </top>
      <bottom/>
      <diagonal/>
    </border>
    <border>
      <left/>
      <right style="medium">
        <color rgb="FFEA005F"/>
      </right>
      <top style="medium">
        <color rgb="FFEA005F"/>
      </top>
      <bottom/>
      <diagonal/>
    </border>
    <border>
      <left style="medium">
        <color rgb="FFEA005F"/>
      </left>
      <right/>
      <top/>
      <bottom/>
      <diagonal/>
    </border>
    <border>
      <left/>
      <right style="medium">
        <color rgb="FFEA005F"/>
      </right>
      <top/>
      <bottom/>
      <diagonal/>
    </border>
    <border>
      <left style="medium">
        <color rgb="FFEA005F"/>
      </left>
      <right/>
      <top style="thin">
        <color auto="1"/>
      </top>
      <bottom/>
      <diagonal/>
    </border>
    <border>
      <left/>
      <right style="medium">
        <color rgb="FFEA005F"/>
      </right>
      <top style="thin">
        <color auto="1"/>
      </top>
      <bottom/>
      <diagonal/>
    </border>
    <border>
      <left style="medium">
        <color rgb="FFEA005F"/>
      </left>
      <right/>
      <top/>
      <bottom style="thin">
        <color auto="1"/>
      </bottom>
      <diagonal/>
    </border>
    <border>
      <left/>
      <right style="medium">
        <color rgb="FFEA005F"/>
      </right>
      <top/>
      <bottom style="thin">
        <color auto="1"/>
      </bottom>
      <diagonal/>
    </border>
    <border>
      <left style="medium">
        <color rgb="FFEA005F"/>
      </left>
      <right style="thin">
        <color auto="1"/>
      </right>
      <top style="thin">
        <color auto="1"/>
      </top>
      <bottom style="medium">
        <color rgb="FFEA005F"/>
      </bottom>
      <diagonal/>
    </border>
    <border>
      <left style="thin">
        <color auto="1"/>
      </left>
      <right style="medium">
        <color rgb="FFEA005F"/>
      </right>
      <top style="thin">
        <color auto="1"/>
      </top>
      <bottom style="medium">
        <color rgb="FFEA005F"/>
      </bottom>
      <diagonal/>
    </border>
    <border>
      <left style="medium">
        <color rgb="FFEA005F"/>
      </left>
      <right style="thin">
        <color auto="1"/>
      </right>
      <top style="thin">
        <color auto="1"/>
      </top>
      <bottom style="thin">
        <color auto="1"/>
      </bottom>
      <diagonal/>
    </border>
    <border>
      <left style="thin">
        <color auto="1"/>
      </left>
      <right style="medium">
        <color rgb="FFEA005F"/>
      </right>
      <top style="thin">
        <color auto="1"/>
      </top>
      <bottom style="thin">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right/>
      <top style="thin">
        <color auto="1"/>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auto="1"/>
      </left>
      <right style="thin">
        <color auto="1"/>
      </right>
      <top/>
      <bottom style="thin">
        <color auto="1"/>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auto="1"/>
      </right>
      <top style="medium">
        <color auto="1"/>
      </top>
      <bottom style="thin">
        <color auto="1"/>
      </bottom>
      <diagonal/>
    </border>
    <border>
      <left style="thin">
        <color auto="1"/>
      </left>
      <right/>
      <top/>
      <bottom style="thin">
        <color theme="1" tint="0.499984740745262"/>
      </bottom>
      <diagonal/>
    </border>
    <border>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diagonalUp="1">
      <left style="dotted">
        <color theme="1" tint="0.34998626667073579"/>
      </left>
      <right/>
      <top style="dotted">
        <color theme="1" tint="0.34998626667073579"/>
      </top>
      <bottom style="dotted">
        <color theme="1" tint="0.34998626667073579"/>
      </bottom>
      <diagonal style="dotted">
        <color theme="1" tint="0.34998626667073579"/>
      </diagonal>
    </border>
    <border diagonalUp="1">
      <left/>
      <right style="dotted">
        <color theme="1" tint="0.34998626667073579"/>
      </right>
      <top style="dotted">
        <color theme="1" tint="0.34998626667073579"/>
      </top>
      <bottom style="dotted">
        <color theme="1" tint="0.34998626667073579"/>
      </bottom>
      <diagonal style="dotted">
        <color theme="1" tint="0.34998626667073579"/>
      </diagonal>
    </border>
    <border diagonalUp="1">
      <left/>
      <right/>
      <top style="dotted">
        <color theme="1" tint="0.34998626667073579"/>
      </top>
      <bottom/>
      <diagonal style="dashed">
        <color theme="1" tint="0.34998626667073579"/>
      </diagonal>
    </border>
    <border diagonalUp="1">
      <left/>
      <right style="dashed">
        <color theme="1" tint="0.34998626667073579"/>
      </right>
      <top style="dotted">
        <color theme="1" tint="0.34998626667073579"/>
      </top>
      <bottom/>
      <diagonal style="dashed">
        <color theme="1" tint="0.34998626667073579"/>
      </diagonal>
    </border>
    <border diagonalUp="1">
      <left/>
      <right/>
      <top/>
      <bottom/>
      <diagonal style="dashed">
        <color theme="1" tint="0.34998626667073579"/>
      </diagonal>
    </border>
    <border diagonalUp="1">
      <left/>
      <right style="dashed">
        <color theme="1" tint="0.34998626667073579"/>
      </right>
      <top/>
      <bottom/>
      <diagonal style="dashed">
        <color theme="1" tint="0.34998626667073579"/>
      </diagonal>
    </border>
    <border diagonalUp="1">
      <left/>
      <right/>
      <top/>
      <bottom style="dashed">
        <color theme="1" tint="0.34998626667073579"/>
      </bottom>
      <diagonal style="dashed">
        <color theme="1" tint="0.34998626667073579"/>
      </diagonal>
    </border>
    <border diagonalUp="1">
      <left/>
      <right style="dashed">
        <color theme="1" tint="0.34998626667073579"/>
      </right>
      <top/>
      <bottom style="dashed">
        <color theme="1" tint="0.34998626667073579"/>
      </bottom>
      <diagonal style="dashed">
        <color theme="1" tint="0.34998626667073579"/>
      </diagonal>
    </border>
  </borders>
  <cellStyleXfs count="148">
    <xf numFmtId="0" fontId="0" fillId="0" borderId="0"/>
    <xf numFmtId="9" fontId="22" fillId="0" borderId="0" applyFont="0" applyFill="0" applyBorder="0" applyAlignment="0" applyProtection="0">
      <alignment vertical="center"/>
    </xf>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6" fillId="0" borderId="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50"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cellStyleXfs>
  <cellXfs count="394">
    <xf numFmtId="0" fontId="0" fillId="0" borderId="0" xfId="0"/>
    <xf numFmtId="0" fontId="5" fillId="2" borderId="0" xfId="0" applyFont="1" applyFill="1" applyProtection="1">
      <protection locked="0"/>
    </xf>
    <xf numFmtId="0" fontId="0" fillId="4" borderId="0" xfId="0" applyFill="1"/>
    <xf numFmtId="0" fontId="6" fillId="4" borderId="0" xfId="0" applyFont="1" applyFill="1"/>
    <xf numFmtId="0" fontId="0" fillId="4" borderId="0" xfId="0" applyFill="1" applyAlignment="1">
      <alignment horizontal="center"/>
    </xf>
    <xf numFmtId="14" fontId="0" fillId="4" borderId="0" xfId="0" applyNumberFormat="1" applyFill="1"/>
    <xf numFmtId="0" fontId="6" fillId="6" borderId="3" xfId="0" applyFont="1" applyFill="1" applyBorder="1" applyAlignment="1" applyProtection="1">
      <alignment vertical="center"/>
      <protection locked="0"/>
    </xf>
    <xf numFmtId="0" fontId="6" fillId="2" borderId="0" xfId="0" applyFont="1" applyFill="1" applyProtection="1">
      <protection locked="0"/>
    </xf>
    <xf numFmtId="0" fontId="2" fillId="2" borderId="3" xfId="0" applyFont="1" applyFill="1" applyBorder="1" applyAlignment="1" applyProtection="1">
      <alignment horizontal="center" vertical="center"/>
      <protection locked="0"/>
    </xf>
    <xf numFmtId="0" fontId="6" fillId="3" borderId="3" xfId="0" applyFont="1" applyFill="1" applyBorder="1" applyAlignment="1" applyProtection="1">
      <alignment vertical="center"/>
      <protection locked="0"/>
    </xf>
    <xf numFmtId="0" fontId="6" fillId="2" borderId="0" xfId="0" applyFont="1" applyFill="1" applyAlignment="1" applyProtection="1">
      <alignment vertical="center"/>
      <protection locked="0"/>
    </xf>
    <xf numFmtId="0" fontId="0" fillId="4" borderId="0" xfId="0" applyFill="1" applyBorder="1"/>
    <xf numFmtId="0" fontId="15" fillId="0" borderId="0" xfId="0" applyFont="1"/>
    <xf numFmtId="0" fontId="0" fillId="4" borderId="0" xfId="0" applyFill="1" applyBorder="1" applyAlignment="1">
      <alignment horizontal="center"/>
    </xf>
    <xf numFmtId="0" fontId="5" fillId="2" borderId="9" xfId="0" applyFont="1" applyFill="1" applyBorder="1" applyAlignment="1" applyProtection="1">
      <alignment horizontal="center"/>
      <protection locked="0"/>
    </xf>
    <xf numFmtId="0" fontId="5" fillId="2" borderId="10" xfId="0" applyNumberFormat="1" applyFont="1" applyFill="1" applyBorder="1" applyAlignment="1" applyProtection="1">
      <alignment horizontal="center" vertical="center"/>
      <protection locked="0"/>
    </xf>
    <xf numFmtId="0" fontId="5" fillId="2" borderId="11" xfId="0" applyFont="1" applyFill="1" applyBorder="1" applyAlignment="1" applyProtection="1">
      <alignment horizontal="center"/>
      <protection locked="0"/>
    </xf>
    <xf numFmtId="0" fontId="5" fillId="2" borderId="12" xfId="0" applyNumberFormat="1" applyFont="1" applyFill="1" applyBorder="1" applyAlignment="1" applyProtection="1">
      <alignment horizontal="center" vertical="center"/>
      <protection locked="0"/>
    </xf>
    <xf numFmtId="0" fontId="5" fillId="2" borderId="12" xfId="0" applyNumberFormat="1" applyFont="1" applyFill="1" applyBorder="1" applyAlignment="1" applyProtection="1">
      <alignment horizontal="center"/>
      <protection locked="0"/>
    </xf>
    <xf numFmtId="14" fontId="0" fillId="4" borderId="16" xfId="0" applyNumberFormat="1" applyFill="1" applyBorder="1" applyAlignment="1">
      <alignment horizontal="center"/>
    </xf>
    <xf numFmtId="0" fontId="0" fillId="4" borderId="16" xfId="0" applyFill="1" applyBorder="1" applyAlignment="1">
      <alignment horizontal="center"/>
    </xf>
    <xf numFmtId="0" fontId="0" fillId="4" borderId="17" xfId="0" applyFill="1" applyBorder="1" applyAlignment="1">
      <alignment horizontal="center"/>
    </xf>
    <xf numFmtId="0" fontId="5" fillId="2" borderId="0" xfId="0" applyFont="1" applyFill="1" applyAlignment="1" applyProtection="1">
      <alignment vertical="center"/>
      <protection locked="0"/>
    </xf>
    <xf numFmtId="0" fontId="5" fillId="4" borderId="11" xfId="0" applyFont="1" applyFill="1" applyBorder="1" applyAlignment="1" applyProtection="1">
      <alignment horizontal="center"/>
      <protection locked="0"/>
    </xf>
    <xf numFmtId="0" fontId="5" fillId="4" borderId="12" xfId="0" applyNumberFormat="1" applyFont="1" applyFill="1" applyBorder="1" applyAlignment="1" applyProtection="1">
      <alignment horizontal="center"/>
      <protection locked="0"/>
    </xf>
    <xf numFmtId="14" fontId="6" fillId="4" borderId="11" xfId="0" applyNumberFormat="1" applyFont="1" applyFill="1" applyBorder="1" applyAlignment="1">
      <alignment horizontal="center"/>
    </xf>
    <xf numFmtId="14" fontId="6" fillId="4" borderId="11" xfId="0" applyNumberFormat="1" applyFont="1" applyFill="1" applyBorder="1"/>
    <xf numFmtId="14" fontId="6" fillId="4" borderId="3" xfId="0" applyNumberFormat="1" applyFont="1" applyFill="1" applyBorder="1"/>
    <xf numFmtId="0" fontId="5" fillId="4" borderId="3" xfId="0" applyFont="1" applyFill="1" applyBorder="1" applyProtection="1"/>
    <xf numFmtId="14" fontId="6" fillId="4" borderId="13" xfId="0" applyNumberFormat="1" applyFont="1" applyFill="1" applyBorder="1"/>
    <xf numFmtId="14" fontId="6" fillId="4" borderId="14" xfId="0" applyNumberFormat="1" applyFont="1" applyFill="1" applyBorder="1"/>
    <xf numFmtId="0" fontId="5" fillId="4" borderId="14" xfId="0" applyFont="1" applyFill="1" applyBorder="1" applyProtection="1"/>
    <xf numFmtId="0" fontId="5" fillId="4" borderId="15" xfId="0" applyNumberFormat="1" applyFont="1" applyFill="1" applyBorder="1" applyAlignment="1" applyProtection="1">
      <alignment horizontal="center"/>
      <protection locked="0"/>
    </xf>
    <xf numFmtId="0" fontId="5" fillId="2" borderId="4" xfId="0" applyFont="1" applyFill="1" applyBorder="1" applyAlignment="1" applyProtection="1">
      <alignment horizontal="left"/>
      <protection locked="0"/>
    </xf>
    <xf numFmtId="0" fontId="5" fillId="2" borderId="3" xfId="0" applyFont="1" applyFill="1" applyBorder="1" applyAlignment="1" applyProtection="1">
      <alignment horizontal="left"/>
      <protection locked="0"/>
    </xf>
    <xf numFmtId="0" fontId="5" fillId="4" borderId="3" xfId="0" applyFont="1" applyFill="1" applyBorder="1" applyAlignment="1" applyProtection="1">
      <alignment horizontal="left"/>
      <protection locked="0"/>
    </xf>
    <xf numFmtId="14" fontId="6" fillId="4" borderId="3" xfId="0" applyNumberFormat="1" applyFont="1" applyFill="1" applyBorder="1" applyAlignment="1">
      <alignment horizontal="left"/>
    </xf>
    <xf numFmtId="14" fontId="5" fillId="4" borderId="4" xfId="0" applyNumberFormat="1" applyFont="1" applyFill="1" applyBorder="1" applyAlignment="1" applyProtection="1">
      <alignment horizontal="left" vertical="center"/>
      <protection locked="0"/>
    </xf>
    <xf numFmtId="14" fontId="5" fillId="4" borderId="3" xfId="0" applyNumberFormat="1" applyFont="1" applyFill="1" applyBorder="1" applyAlignment="1" applyProtection="1">
      <alignment horizontal="left" vertical="center"/>
      <protection locked="0"/>
    </xf>
    <xf numFmtId="49" fontId="5" fillId="4" borderId="3" xfId="0" applyNumberFormat="1" applyFont="1" applyFill="1" applyBorder="1" applyAlignment="1" applyProtection="1">
      <alignment horizontal="left" vertical="center"/>
      <protection locked="0"/>
    </xf>
    <xf numFmtId="0" fontId="5" fillId="4" borderId="3" xfId="0" applyFont="1" applyFill="1" applyBorder="1" applyAlignment="1" applyProtection="1">
      <alignment horizontal="left"/>
    </xf>
    <xf numFmtId="0" fontId="15" fillId="0" borderId="0" xfId="0" applyFont="1" applyProtection="1">
      <protection locked="0"/>
    </xf>
    <xf numFmtId="0" fontId="24" fillId="2" borderId="0" xfId="0" applyFont="1" applyFill="1" applyAlignment="1" applyProtection="1">
      <alignment horizontal="center" vertical="center" wrapText="1"/>
      <protection locked="0"/>
    </xf>
    <xf numFmtId="164" fontId="2" fillId="6" borderId="3" xfId="0" applyNumberFormat="1" applyFont="1" applyFill="1" applyBorder="1" applyAlignment="1" applyProtection="1">
      <alignment horizontal="center" vertical="center"/>
      <protection locked="0"/>
    </xf>
    <xf numFmtId="1" fontId="2" fillId="6" borderId="3" xfId="0" applyNumberFormat="1" applyFont="1" applyFill="1" applyBorder="1" applyAlignment="1" applyProtection="1">
      <alignment horizontal="center" vertical="center"/>
      <protection locked="0"/>
    </xf>
    <xf numFmtId="9" fontId="2" fillId="6" borderId="3" xfId="0" applyNumberFormat="1" applyFont="1" applyFill="1" applyBorder="1" applyAlignment="1" applyProtection="1">
      <alignment horizontal="center" vertical="center"/>
      <protection locked="0"/>
    </xf>
    <xf numFmtId="169" fontId="9" fillId="2" borderId="3" xfId="1" applyNumberFormat="1" applyFont="1" applyFill="1" applyBorder="1" applyAlignment="1" applyProtection="1">
      <alignment horizontal="left" vertical="center"/>
      <protection locked="0"/>
    </xf>
    <xf numFmtId="164" fontId="2" fillId="2" borderId="3" xfId="0" applyNumberFormat="1" applyFont="1" applyFill="1" applyBorder="1" applyAlignment="1" applyProtection="1">
      <alignment horizontal="center" vertical="center"/>
      <protection locked="0"/>
    </xf>
    <xf numFmtId="9" fontId="2" fillId="2" borderId="3" xfId="0" applyNumberFormat="1" applyFont="1" applyFill="1" applyBorder="1" applyAlignment="1" applyProtection="1">
      <alignment horizontal="center" vertical="center"/>
      <protection locked="0"/>
    </xf>
    <xf numFmtId="168" fontId="9" fillId="2" borderId="3" xfId="0" applyNumberFormat="1" applyFont="1" applyFill="1" applyBorder="1" applyAlignment="1" applyProtection="1">
      <alignment horizontal="center" vertical="center"/>
      <protection locked="0"/>
    </xf>
    <xf numFmtId="0" fontId="11" fillId="2" borderId="0" xfId="0" applyFont="1" applyFill="1" applyProtection="1">
      <protection locked="0"/>
    </xf>
    <xf numFmtId="0" fontId="32" fillId="4" borderId="0" xfId="0" applyFont="1" applyFill="1"/>
    <xf numFmtId="0" fontId="16" fillId="4" borderId="0" xfId="0" applyFont="1" applyFill="1" applyBorder="1" applyAlignment="1">
      <alignment vertical="center" wrapText="1"/>
    </xf>
    <xf numFmtId="0" fontId="26" fillId="4" borderId="0" xfId="0" applyFont="1" applyFill="1" applyBorder="1" applyAlignment="1">
      <alignment horizontal="center" vertical="center"/>
    </xf>
    <xf numFmtId="0" fontId="33" fillId="4" borderId="0" xfId="0" applyFont="1" applyFill="1" applyBorder="1" applyAlignment="1">
      <alignment vertical="center" wrapText="1"/>
    </xf>
    <xf numFmtId="14" fontId="0" fillId="4" borderId="25" xfId="0" applyNumberFormat="1" applyFill="1" applyBorder="1" applyAlignment="1">
      <alignment horizontal="center"/>
    </xf>
    <xf numFmtId="0" fontId="26" fillId="4" borderId="5" xfId="0" applyFont="1" applyFill="1" applyBorder="1" applyAlignment="1">
      <alignment horizontal="left" vertical="center" wrapText="1" indent="3"/>
    </xf>
    <xf numFmtId="0" fontId="15" fillId="4" borderId="0" xfId="0" applyFont="1" applyFill="1"/>
    <xf numFmtId="0" fontId="31" fillId="4" borderId="0" xfId="0" applyFont="1" applyFill="1"/>
    <xf numFmtId="49" fontId="10" fillId="6" borderId="3" xfId="0" applyNumberFormat="1" applyFont="1" applyFill="1" applyBorder="1" applyAlignment="1" applyProtection="1">
      <alignment horizontal="left" vertical="center"/>
      <protection locked="0"/>
    </xf>
    <xf numFmtId="0" fontId="29" fillId="0" borderId="0" xfId="0" applyFont="1" applyAlignment="1" applyProtection="1"/>
    <xf numFmtId="0" fontId="0" fillId="0" borderId="0" xfId="0" applyProtection="1"/>
    <xf numFmtId="0" fontId="0" fillId="0" borderId="0" xfId="0" applyAlignment="1" applyProtection="1">
      <alignment wrapText="1"/>
    </xf>
    <xf numFmtId="0" fontId="29" fillId="0" borderId="0" xfId="0" applyFont="1" applyAlignment="1" applyProtection="1">
      <alignment wrapText="1"/>
    </xf>
    <xf numFmtId="0" fontId="20" fillId="0" borderId="0" xfId="0" applyFont="1" applyAlignment="1" applyProtection="1">
      <alignment wrapText="1"/>
    </xf>
    <xf numFmtId="0" fontId="5" fillId="0" borderId="2" xfId="0" applyFont="1" applyBorder="1" applyAlignment="1" applyProtection="1">
      <alignment wrapText="1"/>
    </xf>
    <xf numFmtId="0" fontId="20" fillId="0" borderId="2" xfId="0" applyFont="1" applyBorder="1" applyAlignment="1" applyProtection="1">
      <alignment vertical="center" wrapText="1"/>
    </xf>
    <xf numFmtId="0" fontId="0" fillId="0" borderId="2" xfId="0" applyBorder="1" applyAlignment="1" applyProtection="1">
      <alignment horizontal="center" vertical="center"/>
    </xf>
    <xf numFmtId="0" fontId="30" fillId="5" borderId="2" xfId="0" applyFont="1" applyFill="1" applyBorder="1" applyAlignment="1" applyProtection="1">
      <alignment horizontal="center" vertical="center" wrapText="1"/>
    </xf>
    <xf numFmtId="0" fontId="6" fillId="0" borderId="2" xfId="0" applyFont="1" applyBorder="1" applyAlignment="1" applyProtection="1">
      <alignment vertical="center" wrapText="1"/>
    </xf>
    <xf numFmtId="0" fontId="6" fillId="0" borderId="2" xfId="0" applyFont="1" applyBorder="1" applyAlignment="1" applyProtection="1">
      <alignment vertical="center"/>
    </xf>
    <xf numFmtId="0" fontId="0" fillId="0" borderId="2" xfId="0" applyBorder="1" applyAlignment="1" applyProtection="1">
      <alignment vertical="center"/>
    </xf>
    <xf numFmtId="0" fontId="6" fillId="9" borderId="2" xfId="0" applyFont="1" applyFill="1" applyBorder="1" applyAlignment="1" applyProtection="1">
      <alignment vertical="center" wrapText="1"/>
    </xf>
    <xf numFmtId="0" fontId="0" fillId="0" borderId="0" xfId="0" applyAlignment="1" applyProtection="1">
      <alignment vertical="center"/>
    </xf>
    <xf numFmtId="0" fontId="6" fillId="0" borderId="2" xfId="0" applyFont="1" applyBorder="1" applyAlignment="1" applyProtection="1">
      <alignment horizontal="left" vertical="center" wrapText="1"/>
    </xf>
    <xf numFmtId="0" fontId="6" fillId="10" borderId="2" xfId="0" applyFont="1" applyFill="1" applyBorder="1" applyAlignment="1" applyProtection="1">
      <alignment vertical="center" wrapText="1"/>
    </xf>
    <xf numFmtId="0" fontId="6" fillId="8" borderId="2" xfId="0" applyFont="1" applyFill="1" applyBorder="1" applyAlignment="1" applyProtection="1">
      <alignment vertical="center" wrapText="1"/>
    </xf>
    <xf numFmtId="0" fontId="0" fillId="0" borderId="2" xfId="0" applyBorder="1" applyAlignment="1" applyProtection="1">
      <alignment horizontal="left" vertical="center"/>
    </xf>
    <xf numFmtId="0" fontId="20" fillId="0" borderId="0" xfId="0" applyFont="1" applyProtection="1"/>
    <xf numFmtId="0" fontId="6" fillId="0" borderId="0" xfId="0" applyFont="1" applyProtection="1"/>
    <xf numFmtId="0" fontId="6" fillId="0" borderId="0" xfId="0" applyFont="1" applyAlignment="1" applyProtection="1">
      <alignment horizontal="center"/>
    </xf>
    <xf numFmtId="0" fontId="6" fillId="2" borderId="2" xfId="0" applyFont="1" applyFill="1" applyBorder="1" applyProtection="1"/>
    <xf numFmtId="0" fontId="6" fillId="0" borderId="2" xfId="0" applyFont="1" applyBorder="1" applyProtection="1"/>
    <xf numFmtId="14" fontId="6" fillId="0" borderId="0" xfId="0" applyNumberFormat="1" applyFont="1" applyProtection="1"/>
    <xf numFmtId="0" fontId="6" fillId="0" borderId="0" xfId="0" applyFont="1" applyAlignment="1" applyProtection="1"/>
    <xf numFmtId="0" fontId="0" fillId="0" borderId="2" xfId="0" applyBorder="1" applyProtection="1"/>
    <xf numFmtId="0" fontId="6" fillId="0" borderId="2" xfId="0" applyFont="1" applyFill="1" applyBorder="1" applyAlignment="1" applyProtection="1">
      <alignment horizontal="center" vertical="center"/>
    </xf>
    <xf numFmtId="14" fontId="6" fillId="0" borderId="22" xfId="0" applyNumberFormat="1" applyFont="1" applyFill="1" applyBorder="1" applyAlignment="1" applyProtection="1">
      <alignment horizontal="center" vertical="center"/>
    </xf>
    <xf numFmtId="0" fontId="6" fillId="0" borderId="0" xfId="0" applyFont="1" applyFill="1" applyAlignment="1" applyProtection="1">
      <alignment vertical="center"/>
    </xf>
    <xf numFmtId="14" fontId="6" fillId="0" borderId="2" xfId="0" applyNumberFormat="1" applyFont="1" applyFill="1" applyBorder="1" applyAlignment="1" applyProtection="1">
      <alignment horizontal="center" vertical="center"/>
    </xf>
    <xf numFmtId="0" fontId="6" fillId="0" borderId="0" xfId="0" applyFont="1" applyFill="1" applyProtection="1"/>
    <xf numFmtId="0" fontId="6" fillId="0" borderId="0" xfId="0" applyFont="1" applyFill="1" applyAlignment="1" applyProtection="1">
      <alignment vertical="center" wrapText="1"/>
    </xf>
    <xf numFmtId="0" fontId="6" fillId="0" borderId="2" xfId="0" applyFont="1" applyFill="1" applyBorder="1" applyAlignment="1" applyProtection="1">
      <alignment horizontal="center"/>
    </xf>
    <xf numFmtId="14" fontId="5" fillId="0" borderId="0" xfId="0" applyNumberFormat="1" applyFont="1" applyFill="1" applyBorder="1" applyAlignment="1" applyProtection="1">
      <alignment vertical="center"/>
    </xf>
    <xf numFmtId="14" fontId="5" fillId="0" borderId="0" xfId="0" applyNumberFormat="1" applyFont="1" applyFill="1" applyBorder="1" applyAlignment="1" applyProtection="1">
      <alignment horizontal="center" vertical="center"/>
    </xf>
    <xf numFmtId="0" fontId="6" fillId="11" borderId="2" xfId="0" applyFont="1" applyFill="1" applyBorder="1" applyAlignment="1" applyProtection="1">
      <alignment vertical="center" wrapText="1"/>
    </xf>
    <xf numFmtId="0" fontId="6" fillId="0" borderId="2" xfId="0" applyFont="1" applyFill="1" applyBorder="1" applyAlignment="1" applyProtection="1">
      <alignment vertical="center"/>
    </xf>
    <xf numFmtId="0" fontId="6" fillId="4" borderId="2" xfId="0" applyFont="1" applyFill="1" applyBorder="1" applyAlignment="1" applyProtection="1">
      <alignment vertical="center" wrapText="1"/>
    </xf>
    <xf numFmtId="0" fontId="0" fillId="0" borderId="2" xfId="0" applyBorder="1" applyAlignment="1">
      <alignment vertical="center"/>
    </xf>
    <xf numFmtId="0" fontId="6" fillId="0" borderId="2" xfId="0" applyFont="1" applyBorder="1" applyAlignment="1">
      <alignment vertical="center"/>
    </xf>
    <xf numFmtId="0" fontId="6" fillId="0" borderId="2" xfId="0" applyFont="1" applyBorder="1" applyAlignment="1" applyProtection="1">
      <alignment horizontal="center"/>
    </xf>
    <xf numFmtId="0" fontId="0" fillId="0" borderId="2" xfId="0" applyBorder="1" applyAlignment="1" applyProtection="1">
      <alignment horizontal="center"/>
    </xf>
    <xf numFmtId="0" fontId="6" fillId="2" borderId="0" xfId="0" applyFont="1" applyFill="1" applyAlignment="1" applyProtection="1">
      <alignment horizontal="center"/>
      <protection locked="0"/>
    </xf>
    <xf numFmtId="0" fontId="27" fillId="0" borderId="0" xfId="0" applyFont="1" applyAlignment="1" applyProtection="1">
      <alignment vertical="center"/>
    </xf>
    <xf numFmtId="0" fontId="6" fillId="10" borderId="2" xfId="0" applyFont="1" applyFill="1" applyBorder="1" applyAlignment="1" applyProtection="1">
      <alignment horizontal="left" vertical="center" wrapText="1"/>
    </xf>
    <xf numFmtId="0" fontId="6" fillId="4" borderId="2" xfId="0" applyFont="1" applyFill="1" applyBorder="1" applyAlignment="1" applyProtection="1">
      <alignment horizontal="left" vertical="center" wrapText="1"/>
    </xf>
    <xf numFmtId="0" fontId="27" fillId="0" borderId="2" xfId="0" applyFont="1" applyBorder="1" applyAlignment="1" applyProtection="1">
      <alignment vertical="center" wrapText="1"/>
    </xf>
    <xf numFmtId="0" fontId="27" fillId="0" borderId="2" xfId="0" applyFont="1" applyBorder="1" applyAlignment="1" applyProtection="1">
      <alignment vertical="center"/>
    </xf>
    <xf numFmtId="0" fontId="6" fillId="11" borderId="2" xfId="0" applyFont="1" applyFill="1" applyBorder="1" applyAlignment="1">
      <alignment wrapText="1"/>
    </xf>
    <xf numFmtId="16" fontId="6" fillId="0" borderId="0" xfId="0" applyNumberFormat="1" applyFont="1" applyProtection="1"/>
    <xf numFmtId="0" fontId="0" fillId="0" borderId="2" xfId="0" applyBorder="1" applyAlignment="1" applyProtection="1">
      <alignment wrapText="1"/>
    </xf>
    <xf numFmtId="0" fontId="6" fillId="0" borderId="0" xfId="0" applyFont="1" applyAlignment="1" applyProtection="1">
      <alignment horizontal="center" wrapText="1"/>
    </xf>
    <xf numFmtId="0" fontId="40" fillId="2" borderId="0" xfId="0" applyFont="1" applyFill="1" applyAlignment="1" applyProtection="1">
      <alignment vertical="center"/>
      <protection locked="0"/>
    </xf>
    <xf numFmtId="0" fontId="41" fillId="2" borderId="0" xfId="0" applyFont="1" applyFill="1" applyBorder="1" applyAlignment="1" applyProtection="1">
      <alignment horizontal="center" vertical="center" wrapText="1"/>
      <protection locked="0"/>
    </xf>
    <xf numFmtId="0" fontId="23" fillId="2" borderId="0" xfId="0" applyFont="1" applyFill="1" applyAlignment="1" applyProtection="1">
      <alignment horizontal="center" vertical="center" wrapText="1"/>
      <protection locked="0"/>
    </xf>
    <xf numFmtId="0" fontId="40" fillId="2" borderId="0" xfId="0" quotePrefix="1" applyNumberFormat="1" applyFont="1" applyFill="1" applyBorder="1" applyAlignment="1" applyProtection="1">
      <alignment horizontal="left" vertical="center"/>
      <protection locked="0"/>
    </xf>
    <xf numFmtId="0" fontId="6" fillId="0" borderId="30" xfId="0" applyFont="1" applyBorder="1" applyProtection="1"/>
    <xf numFmtId="0" fontId="6" fillId="0" borderId="31" xfId="0" applyFont="1" applyBorder="1" applyProtection="1"/>
    <xf numFmtId="0" fontId="16" fillId="2" borderId="0" xfId="0" applyFont="1" applyFill="1" applyProtection="1">
      <protection locked="0"/>
    </xf>
    <xf numFmtId="0" fontId="36" fillId="4" borderId="0" xfId="0" applyFont="1" applyFill="1" applyProtection="1">
      <protection locked="0"/>
    </xf>
    <xf numFmtId="14" fontId="17" fillId="4" borderId="0" xfId="0" applyNumberFormat="1" applyFont="1" applyFill="1" applyBorder="1" applyProtection="1">
      <protection locked="0"/>
    </xf>
    <xf numFmtId="0" fontId="17" fillId="2" borderId="0" xfId="0" applyFont="1" applyFill="1" applyProtection="1">
      <protection locked="0"/>
    </xf>
    <xf numFmtId="0" fontId="17" fillId="4" borderId="0" xfId="0" applyFont="1" applyFill="1" applyBorder="1" applyAlignment="1" applyProtection="1">
      <protection locked="0"/>
    </xf>
    <xf numFmtId="2" fontId="17" fillId="4" borderId="0" xfId="0" applyNumberFormat="1" applyFont="1" applyFill="1" applyBorder="1" applyAlignment="1" applyProtection="1">
      <protection locked="0"/>
    </xf>
    <xf numFmtId="0" fontId="0" fillId="4" borderId="0" xfId="0" applyFill="1" applyProtection="1">
      <protection locked="0"/>
    </xf>
    <xf numFmtId="0" fontId="17" fillId="4" borderId="0" xfId="0" applyFont="1" applyFill="1" applyProtection="1">
      <protection locked="0"/>
    </xf>
    <xf numFmtId="0" fontId="6" fillId="0" borderId="2" xfId="0" applyFont="1" applyBorder="1" applyAlignment="1" applyProtection="1">
      <alignment wrapText="1"/>
    </xf>
    <xf numFmtId="0" fontId="30" fillId="9" borderId="2" xfId="0" applyFont="1" applyFill="1" applyBorder="1" applyAlignment="1" applyProtection="1">
      <alignment horizontal="center"/>
    </xf>
    <xf numFmtId="0" fontId="6" fillId="2" borderId="0" xfId="0" applyFont="1" applyFill="1" applyBorder="1" applyProtection="1">
      <protection locked="0"/>
    </xf>
    <xf numFmtId="0" fontId="6" fillId="4" borderId="0" xfId="0" applyFont="1" applyFill="1" applyProtection="1">
      <protection locked="0"/>
    </xf>
    <xf numFmtId="0" fontId="6" fillId="0" borderId="34" xfId="0" applyFont="1" applyBorder="1" applyProtection="1"/>
    <xf numFmtId="0" fontId="6" fillId="0" borderId="35" xfId="0" applyFont="1" applyBorder="1" applyProtection="1"/>
    <xf numFmtId="0" fontId="6" fillId="2" borderId="0" xfId="0" applyFont="1" applyFill="1" applyBorder="1" applyAlignment="1" applyProtection="1">
      <alignment horizontal="center"/>
      <protection locked="0"/>
    </xf>
    <xf numFmtId="0" fontId="0" fillId="0" borderId="0" xfId="0" applyProtection="1">
      <protection locked="0"/>
    </xf>
    <xf numFmtId="0" fontId="27" fillId="4" borderId="0" xfId="0" applyFont="1" applyFill="1" applyProtection="1">
      <protection locked="0"/>
    </xf>
    <xf numFmtId="0" fontId="35" fillId="4" borderId="0" xfId="0" applyFont="1" applyFill="1" applyProtection="1">
      <protection locked="0"/>
    </xf>
    <xf numFmtId="0" fontId="18" fillId="2" borderId="0" xfId="0" applyFont="1" applyFill="1" applyBorder="1" applyAlignment="1" applyProtection="1">
      <alignment horizontal="center" wrapText="1"/>
      <protection locked="0"/>
    </xf>
    <xf numFmtId="0" fontId="17" fillId="4" borderId="0" xfId="0" applyFont="1" applyFill="1" applyBorder="1" applyProtection="1">
      <protection locked="0"/>
    </xf>
    <xf numFmtId="14" fontId="17" fillId="4" borderId="0" xfId="0" applyNumberFormat="1" applyFont="1" applyFill="1" applyBorder="1" applyAlignment="1" applyProtection="1">
      <alignment vertical="center"/>
      <protection locked="0"/>
    </xf>
    <xf numFmtId="0" fontId="32" fillId="4" borderId="0" xfId="0" applyFont="1" applyFill="1" applyProtection="1">
      <protection locked="0"/>
    </xf>
    <xf numFmtId="164" fontId="18" fillId="4" borderId="0" xfId="0" applyNumberFormat="1" applyFont="1" applyFill="1" applyBorder="1" applyAlignment="1" applyProtection="1">
      <alignment horizontal="center" wrapText="1"/>
      <protection locked="0"/>
    </xf>
    <xf numFmtId="0" fontId="18" fillId="4" borderId="0" xfId="0" applyFont="1" applyFill="1" applyBorder="1" applyAlignment="1" applyProtection="1">
      <alignment horizontal="center" wrapText="1"/>
      <protection locked="0"/>
    </xf>
    <xf numFmtId="14" fontId="28" fillId="2" borderId="0" xfId="0" applyNumberFormat="1" applyFont="1" applyFill="1" applyAlignment="1" applyProtection="1">
      <protection locked="0"/>
    </xf>
    <xf numFmtId="0" fontId="15" fillId="4" borderId="0" xfId="0" applyFont="1" applyFill="1" applyProtection="1">
      <protection locked="0"/>
    </xf>
    <xf numFmtId="0" fontId="5" fillId="4" borderId="0" xfId="0" applyFont="1" applyFill="1" applyAlignment="1" applyProtection="1">
      <alignment vertical="center"/>
      <protection locked="0"/>
    </xf>
    <xf numFmtId="0" fontId="15" fillId="4" borderId="0" xfId="0" applyFont="1" applyFill="1" applyBorder="1" applyProtection="1">
      <protection locked="0"/>
    </xf>
    <xf numFmtId="0" fontId="19" fillId="2" borderId="0" xfId="0" applyFont="1" applyFill="1" applyBorder="1" applyAlignment="1" applyProtection="1">
      <alignment horizontal="center" vertical="center" wrapText="1"/>
      <protection locked="0"/>
    </xf>
    <xf numFmtId="169" fontId="25" fillId="2" borderId="0" xfId="1" applyNumberFormat="1" applyFont="1" applyFill="1" applyBorder="1" applyAlignment="1" applyProtection="1">
      <alignment horizontal="center" vertical="center" wrapText="1"/>
      <protection locked="0"/>
    </xf>
    <xf numFmtId="0" fontId="15" fillId="0" borderId="0" xfId="0" applyFont="1" applyBorder="1" applyProtection="1">
      <protection locked="0"/>
    </xf>
    <xf numFmtId="1" fontId="8" fillId="2" borderId="0" xfId="0" applyNumberFormat="1" applyFont="1" applyFill="1" applyBorder="1" applyAlignment="1" applyProtection="1">
      <alignment horizontal="center" vertical="center" textRotation="90"/>
      <protection locked="0"/>
    </xf>
    <xf numFmtId="0" fontId="16" fillId="2" borderId="0" xfId="0" applyFont="1" applyFill="1" applyBorder="1" applyAlignment="1" applyProtection="1">
      <alignment vertical="center" wrapText="1"/>
      <protection locked="0"/>
    </xf>
    <xf numFmtId="166" fontId="7" fillId="2" borderId="1" xfId="0" applyNumberFormat="1" applyFont="1" applyFill="1" applyBorder="1" applyAlignment="1" applyProtection="1">
      <alignment horizontal="center" vertical="center"/>
      <protection locked="0"/>
    </xf>
    <xf numFmtId="0" fontId="7" fillId="2" borderId="0" xfId="0" applyFont="1" applyFill="1" applyAlignment="1" applyProtection="1">
      <alignment horizontal="left"/>
      <protection locked="0"/>
    </xf>
    <xf numFmtId="0" fontId="23" fillId="2" borderId="0" xfId="0" applyFont="1" applyFill="1" applyBorder="1" applyAlignment="1" applyProtection="1">
      <alignment horizontal="center" vertical="center"/>
      <protection locked="0"/>
    </xf>
    <xf numFmtId="165" fontId="7" fillId="2" borderId="1" xfId="0" applyNumberFormat="1" applyFont="1" applyFill="1" applyBorder="1" applyAlignment="1" applyProtection="1">
      <alignment horizontal="center" vertical="center"/>
      <protection locked="0"/>
    </xf>
    <xf numFmtId="0" fontId="44" fillId="7" borderId="40" xfId="0" applyFont="1" applyFill="1" applyBorder="1" applyAlignment="1" applyProtection="1">
      <alignment horizontal="left" vertical="center"/>
      <protection locked="0"/>
    </xf>
    <xf numFmtId="0" fontId="45" fillId="13" borderId="40" xfId="0" applyFont="1" applyFill="1" applyBorder="1" applyAlignment="1" applyProtection="1">
      <alignment horizontal="center" vertical="center"/>
      <protection locked="0"/>
    </xf>
    <xf numFmtId="14" fontId="6" fillId="13" borderId="41" xfId="0" applyNumberFormat="1" applyFont="1" applyFill="1" applyBorder="1" applyAlignment="1" applyProtection="1">
      <alignment horizontal="center" vertical="center" textRotation="90"/>
      <protection locked="0"/>
    </xf>
    <xf numFmtId="14" fontId="6" fillId="13" borderId="45" xfId="0" applyNumberFormat="1" applyFont="1" applyFill="1" applyBorder="1" applyProtection="1">
      <protection locked="0"/>
    </xf>
    <xf numFmtId="0" fontId="6" fillId="13" borderId="45" xfId="0" applyFont="1" applyFill="1" applyBorder="1" applyProtection="1">
      <protection locked="0"/>
    </xf>
    <xf numFmtId="0" fontId="6" fillId="13" borderId="45" xfId="0" applyNumberFormat="1" applyFont="1" applyFill="1" applyBorder="1" applyProtection="1">
      <protection locked="0"/>
    </xf>
    <xf numFmtId="0" fontId="5" fillId="13" borderId="45" xfId="0" applyFont="1" applyFill="1" applyBorder="1" applyProtection="1">
      <protection locked="0"/>
    </xf>
    <xf numFmtId="0" fontId="46" fillId="13" borderId="45" xfId="0" applyFont="1" applyFill="1" applyBorder="1" applyAlignment="1" applyProtection="1">
      <alignment horizontal="center" vertical="center"/>
      <protection locked="0"/>
    </xf>
    <xf numFmtId="0" fontId="6" fillId="0" borderId="49" xfId="0" applyFont="1" applyFill="1" applyBorder="1" applyAlignment="1" applyProtection="1">
      <alignment horizontal="center" vertical="center"/>
    </xf>
    <xf numFmtId="167" fontId="5" fillId="0" borderId="49" xfId="0" applyNumberFormat="1" applyFont="1" applyFill="1" applyBorder="1" applyAlignment="1" applyProtection="1">
      <alignment horizontal="center"/>
    </xf>
    <xf numFmtId="14" fontId="6" fillId="0" borderId="7" xfId="0" applyNumberFormat="1" applyFont="1" applyFill="1" applyBorder="1" applyAlignment="1" applyProtection="1">
      <alignment horizontal="center" vertical="center"/>
    </xf>
    <xf numFmtId="0" fontId="6" fillId="14" borderId="40" xfId="0" applyFont="1" applyFill="1" applyBorder="1" applyAlignment="1" applyProtection="1">
      <alignment horizontal="center"/>
    </xf>
    <xf numFmtId="0" fontId="23" fillId="2" borderId="4" xfId="0" applyFont="1" applyFill="1" applyBorder="1" applyAlignment="1" applyProtection="1">
      <alignment vertical="center" wrapText="1"/>
      <protection locked="0"/>
    </xf>
    <xf numFmtId="0" fontId="30" fillId="9" borderId="2" xfId="0" applyFont="1" applyFill="1" applyBorder="1" applyAlignment="1" applyProtection="1">
      <alignment horizontal="center"/>
    </xf>
    <xf numFmtId="0" fontId="0" fillId="0" borderId="2" xfId="0" applyBorder="1" applyAlignment="1" applyProtection="1">
      <alignment horizontal="center"/>
    </xf>
    <xf numFmtId="0" fontId="6" fillId="2" borderId="50" xfId="0" applyFont="1" applyFill="1" applyBorder="1" applyAlignment="1" applyProtection="1">
      <protection locked="0"/>
    </xf>
    <xf numFmtId="0" fontId="6" fillId="2" borderId="51" xfId="0" applyFont="1" applyFill="1" applyBorder="1" applyAlignment="1" applyProtection="1">
      <protection locked="0"/>
    </xf>
    <xf numFmtId="0" fontId="6" fillId="15" borderId="2" xfId="0" applyFont="1" applyFill="1" applyBorder="1" applyAlignment="1" applyProtection="1">
      <alignment horizontal="center"/>
    </xf>
    <xf numFmtId="0" fontId="0" fillId="15" borderId="2" xfId="0" applyFill="1" applyBorder="1" applyProtection="1"/>
    <xf numFmtId="0" fontId="6" fillId="15" borderId="2" xfId="0" applyFont="1" applyFill="1" applyBorder="1" applyProtection="1"/>
    <xf numFmtId="0" fontId="6" fillId="15" borderId="2" xfId="0" applyFont="1" applyFill="1" applyBorder="1" applyProtection="1">
      <protection locked="0"/>
    </xf>
    <xf numFmtId="0" fontId="6" fillId="14" borderId="2" xfId="0" applyFont="1" applyFill="1" applyBorder="1" applyAlignment="1" applyProtection="1"/>
    <xf numFmtId="0" fontId="0" fillId="4" borderId="2" xfId="0" applyFill="1" applyBorder="1" applyAlignment="1" applyProtection="1">
      <alignment horizontal="center" vertical="center"/>
    </xf>
    <xf numFmtId="164" fontId="47" fillId="6" borderId="3" xfId="0" applyNumberFormat="1" applyFont="1" applyFill="1" applyBorder="1" applyAlignment="1" applyProtection="1">
      <alignment horizontal="center" vertical="center"/>
      <protection locked="0"/>
    </xf>
    <xf numFmtId="164" fontId="47" fillId="2" borderId="3" xfId="0" applyNumberFormat="1" applyFont="1" applyFill="1" applyBorder="1" applyAlignment="1" applyProtection="1">
      <alignment horizontal="center" vertical="center"/>
      <protection locked="0"/>
    </xf>
    <xf numFmtId="0" fontId="47" fillId="2" borderId="0" xfId="0" applyFont="1" applyFill="1" applyAlignment="1" applyProtection="1">
      <alignment horizontal="center" vertical="center" wrapText="1"/>
      <protection locked="0"/>
    </xf>
    <xf numFmtId="0" fontId="6" fillId="0" borderId="0" xfId="0" applyFont="1" applyAlignment="1" applyProtection="1">
      <alignment horizontal="right"/>
    </xf>
    <xf numFmtId="0" fontId="0" fillId="0" borderId="2" xfId="0" applyBorder="1" applyAlignment="1" applyProtection="1">
      <alignment horizontal="left"/>
    </xf>
    <xf numFmtId="0" fontId="0" fillId="15" borderId="2" xfId="0" applyFill="1" applyBorder="1" applyAlignment="1" applyProtection="1">
      <alignment horizontal="left"/>
    </xf>
    <xf numFmtId="0" fontId="6" fillId="15" borderId="2" xfId="0" applyFont="1" applyFill="1" applyBorder="1" applyAlignment="1" applyProtection="1">
      <alignment horizontal="left"/>
    </xf>
    <xf numFmtId="0" fontId="6" fillId="11" borderId="2" xfId="0" applyFont="1" applyFill="1" applyBorder="1" applyAlignment="1" applyProtection="1">
      <alignment horizontal="left"/>
    </xf>
    <xf numFmtId="0" fontId="6" fillId="4" borderId="2" xfId="0" applyFont="1" applyFill="1" applyBorder="1" applyAlignment="1" applyProtection="1">
      <alignment horizontal="left"/>
    </xf>
    <xf numFmtId="0" fontId="6" fillId="4" borderId="2" xfId="0" applyFont="1" applyFill="1" applyBorder="1" applyProtection="1"/>
    <xf numFmtId="0" fontId="0" fillId="11" borderId="2" xfId="0" applyFill="1" applyBorder="1" applyAlignment="1" applyProtection="1">
      <alignment horizontal="left"/>
    </xf>
    <xf numFmtId="0" fontId="6" fillId="0" borderId="0" xfId="0" applyFont="1" applyAlignment="1">
      <alignment horizontal="left" vertical="center"/>
    </xf>
    <xf numFmtId="0" fontId="6" fillId="0" borderId="0" xfId="0" applyFont="1" applyAlignment="1">
      <alignment horizontal="left" vertical="center" wrapText="1"/>
    </xf>
    <xf numFmtId="0" fontId="6" fillId="0" borderId="2" xfId="0" applyFont="1" applyBorder="1" applyAlignment="1">
      <alignment horizontal="left" vertical="center" wrapText="1"/>
    </xf>
    <xf numFmtId="0" fontId="48" fillId="0" borderId="2" xfId="0" applyFont="1" applyBorder="1" applyAlignment="1">
      <alignment vertical="center"/>
    </xf>
    <xf numFmtId="0" fontId="49" fillId="0" borderId="2" xfId="0" applyFont="1" applyBorder="1"/>
    <xf numFmtId="0" fontId="48" fillId="0" borderId="2" xfId="0" applyFont="1" applyBorder="1"/>
    <xf numFmtId="0" fontId="0" fillId="17" borderId="2" xfId="0" applyFill="1" applyBorder="1" applyAlignment="1" applyProtection="1">
      <alignment horizontal="left"/>
    </xf>
    <xf numFmtId="0" fontId="0" fillId="17" borderId="2" xfId="0" applyFill="1" applyBorder="1" applyProtection="1"/>
    <xf numFmtId="0" fontId="0" fillId="17" borderId="2" xfId="0" applyFill="1" applyBorder="1" applyAlignment="1" applyProtection="1"/>
    <xf numFmtId="0" fontId="0" fillId="18" borderId="2" xfId="0" applyFill="1" applyBorder="1" applyAlignment="1" applyProtection="1">
      <alignment horizontal="center"/>
    </xf>
    <xf numFmtId="0" fontId="0" fillId="18" borderId="2" xfId="0" applyFill="1" applyBorder="1" applyAlignment="1" applyProtection="1">
      <alignment horizontal="left"/>
    </xf>
    <xf numFmtId="0" fontId="0" fillId="18" borderId="2" xfId="0" applyFill="1" applyBorder="1" applyProtection="1"/>
    <xf numFmtId="0" fontId="45" fillId="13" borderId="41" xfId="0" applyFont="1" applyFill="1" applyBorder="1" applyAlignment="1" applyProtection="1">
      <alignment horizontal="center" vertical="center"/>
      <protection locked="0"/>
    </xf>
    <xf numFmtId="169" fontId="9" fillId="19" borderId="3" xfId="1" applyNumberFormat="1" applyFont="1" applyFill="1" applyBorder="1" applyAlignment="1" applyProtection="1">
      <alignment horizontal="left" vertical="center"/>
      <protection locked="0"/>
    </xf>
    <xf numFmtId="168" fontId="9" fillId="19" borderId="3" xfId="0" applyNumberFormat="1" applyFont="1" applyFill="1" applyBorder="1" applyAlignment="1" applyProtection="1">
      <alignment horizontal="center" vertical="center"/>
      <protection locked="0"/>
    </xf>
    <xf numFmtId="0" fontId="9" fillId="2" borderId="3" xfId="0" applyFont="1" applyFill="1" applyBorder="1" applyAlignment="1" applyProtection="1">
      <alignment horizontal="center" vertical="center"/>
      <protection locked="0"/>
    </xf>
    <xf numFmtId="0" fontId="9" fillId="19" borderId="3" xfId="0" applyFont="1" applyFill="1" applyBorder="1" applyAlignment="1" applyProtection="1">
      <alignment horizontal="center" vertical="center"/>
      <protection locked="0"/>
    </xf>
    <xf numFmtId="0" fontId="6" fillId="6" borderId="52" xfId="0" applyFont="1" applyFill="1" applyBorder="1" applyAlignment="1" applyProtection="1">
      <alignment vertical="center"/>
      <protection locked="0"/>
    </xf>
    <xf numFmtId="0" fontId="6" fillId="2" borderId="2" xfId="0" applyFont="1" applyFill="1" applyBorder="1" applyAlignment="1" applyProtection="1">
      <protection locked="0"/>
    </xf>
    <xf numFmtId="0" fontId="5" fillId="2" borderId="4" xfId="0" applyNumberFormat="1" applyFont="1" applyFill="1" applyBorder="1" applyAlignment="1" applyProtection="1">
      <alignment horizontal="center" vertical="center"/>
      <protection locked="0"/>
    </xf>
    <xf numFmtId="0" fontId="5" fillId="2" borderId="3" xfId="0" applyNumberFormat="1" applyFont="1" applyFill="1" applyBorder="1" applyAlignment="1" applyProtection="1">
      <alignment horizontal="center" vertical="center"/>
      <protection locked="0"/>
    </xf>
    <xf numFmtId="0" fontId="5" fillId="2" borderId="3" xfId="0" applyNumberFormat="1" applyFont="1" applyFill="1" applyBorder="1" applyAlignment="1" applyProtection="1">
      <alignment horizontal="center"/>
      <protection locked="0"/>
    </xf>
    <xf numFmtId="0" fontId="5" fillId="4" borderId="3" xfId="0" applyNumberFormat="1" applyFont="1" applyFill="1" applyBorder="1" applyAlignment="1" applyProtection="1">
      <alignment horizontal="center"/>
      <protection locked="0"/>
    </xf>
    <xf numFmtId="0" fontId="5" fillId="4" borderId="14" xfId="0" applyNumberFormat="1" applyFont="1" applyFill="1" applyBorder="1" applyAlignment="1" applyProtection="1">
      <alignment horizontal="center"/>
      <protection locked="0"/>
    </xf>
    <xf numFmtId="0" fontId="2" fillId="3" borderId="3" xfId="0" applyFont="1" applyFill="1" applyBorder="1" applyAlignment="1" applyProtection="1">
      <alignment vertical="center"/>
      <protection locked="0"/>
    </xf>
    <xf numFmtId="0" fontId="6" fillId="11" borderId="2" xfId="0" applyFont="1" applyFill="1" applyBorder="1" applyProtection="1"/>
    <xf numFmtId="0" fontId="6" fillId="4" borderId="2" xfId="0" applyFont="1" applyFill="1" applyBorder="1" applyAlignment="1" applyProtection="1">
      <alignment wrapText="1"/>
    </xf>
    <xf numFmtId="164" fontId="2" fillId="0" borderId="3" xfId="0" applyNumberFormat="1" applyFont="1" applyFill="1" applyBorder="1" applyAlignment="1" applyProtection="1">
      <alignment horizontal="center" vertical="center"/>
      <protection locked="0"/>
    </xf>
    <xf numFmtId="0" fontId="0" fillId="4" borderId="2" xfId="0" applyFill="1" applyBorder="1" applyAlignment="1" applyProtection="1">
      <alignment wrapText="1"/>
    </xf>
    <xf numFmtId="0" fontId="0" fillId="20" borderId="2" xfId="0" applyFill="1" applyBorder="1" applyAlignment="1" applyProtection="1">
      <alignment horizontal="left"/>
    </xf>
    <xf numFmtId="0" fontId="0" fillId="20" borderId="2" xfId="0" applyFill="1" applyBorder="1" applyProtection="1"/>
    <xf numFmtId="0" fontId="6" fillId="0" borderId="2" xfId="102" applyFont="1" applyBorder="1"/>
    <xf numFmtId="0" fontId="6" fillId="20" borderId="2" xfId="0" applyFont="1" applyFill="1" applyBorder="1" applyProtection="1"/>
    <xf numFmtId="0" fontId="6" fillId="11" borderId="2" xfId="102" applyFont="1" applyFill="1" applyBorder="1"/>
    <xf numFmtId="0" fontId="0" fillId="0" borderId="2" xfId="0" applyBorder="1"/>
    <xf numFmtId="0" fontId="6" fillId="3" borderId="52" xfId="0" applyFont="1" applyFill="1" applyBorder="1" applyAlignment="1" applyProtection="1">
      <alignment vertical="center"/>
      <protection locked="0"/>
    </xf>
    <xf numFmtId="0" fontId="0" fillId="17" borderId="2" xfId="0" applyFill="1" applyBorder="1" applyAlignment="1" applyProtection="1">
      <alignment wrapText="1"/>
    </xf>
    <xf numFmtId="0" fontId="0" fillId="11" borderId="2" xfId="0" applyFill="1" applyBorder="1" applyAlignment="1" applyProtection="1">
      <alignment horizontal="left" vertical="center"/>
    </xf>
    <xf numFmtId="0" fontId="0" fillId="21" borderId="2" xfId="0" applyFill="1" applyBorder="1" applyAlignment="1" applyProtection="1">
      <alignment horizontal="left"/>
    </xf>
    <xf numFmtId="0" fontId="0" fillId="21" borderId="2" xfId="0" applyFill="1" applyBorder="1" applyProtection="1"/>
    <xf numFmtId="0" fontId="6" fillId="21" borderId="2" xfId="0" applyFont="1" applyFill="1" applyBorder="1" applyProtection="1"/>
    <xf numFmtId="0" fontId="0" fillId="4" borderId="2" xfId="0" applyFill="1" applyBorder="1" applyAlignment="1" applyProtection="1">
      <alignment horizontal="left" vertical="center"/>
    </xf>
    <xf numFmtId="0" fontId="6" fillId="7" borderId="2" xfId="0" applyFont="1" applyFill="1" applyBorder="1" applyAlignment="1" applyProtection="1">
      <alignment horizontal="center" vertical="center" wrapText="1"/>
    </xf>
    <xf numFmtId="0" fontId="6" fillId="7" borderId="0" xfId="0" applyFont="1" applyFill="1" applyAlignment="1" applyProtection="1">
      <alignment horizontal="center" vertical="center"/>
    </xf>
    <xf numFmtId="0" fontId="27" fillId="7" borderId="2" xfId="0" applyFont="1" applyFill="1" applyBorder="1" applyAlignment="1" applyProtection="1">
      <alignment horizontal="center" vertical="center" wrapText="1"/>
    </xf>
    <xf numFmtId="0" fontId="6" fillId="7" borderId="2" xfId="0" applyFont="1" applyFill="1" applyBorder="1" applyAlignment="1" applyProtection="1">
      <alignment horizontal="center" vertical="center"/>
    </xf>
    <xf numFmtId="0" fontId="6" fillId="2" borderId="2" xfId="0" applyFont="1" applyFill="1" applyBorder="1" applyProtection="1">
      <protection locked="0"/>
    </xf>
    <xf numFmtId="169" fontId="12" fillId="2" borderId="0" xfId="1" applyNumberFormat="1" applyFont="1" applyFill="1" applyBorder="1" applyAlignment="1" applyProtection="1">
      <alignment vertical="center" wrapText="1"/>
      <protection locked="0"/>
    </xf>
    <xf numFmtId="169" fontId="12" fillId="2" borderId="4" xfId="1" applyNumberFormat="1" applyFont="1" applyFill="1" applyBorder="1" applyAlignment="1" applyProtection="1">
      <alignment vertical="center"/>
      <protection locked="0"/>
    </xf>
    <xf numFmtId="0" fontId="6" fillId="7" borderId="0" xfId="0" applyFont="1" applyFill="1" applyProtection="1">
      <protection locked="0"/>
    </xf>
    <xf numFmtId="0" fontId="5" fillId="7" borderId="0" xfId="0" applyFont="1" applyFill="1" applyProtection="1">
      <protection locked="0"/>
    </xf>
    <xf numFmtId="0" fontId="34" fillId="7" borderId="0" xfId="0" applyFont="1" applyFill="1" applyProtection="1">
      <protection locked="0"/>
    </xf>
    <xf numFmtId="0" fontId="27" fillId="7" borderId="0" xfId="0" applyFont="1" applyFill="1" applyProtection="1">
      <protection locked="0"/>
    </xf>
    <xf numFmtId="0" fontId="42" fillId="7" borderId="0" xfId="0" applyFont="1" applyFill="1" applyProtection="1">
      <protection locked="0"/>
    </xf>
    <xf numFmtId="0" fontId="5" fillId="7" borderId="0" xfId="0" applyFont="1" applyFill="1" applyBorder="1" applyProtection="1">
      <protection locked="0"/>
    </xf>
    <xf numFmtId="0" fontId="4" fillId="7" borderId="0" xfId="0" applyFont="1" applyFill="1" applyProtection="1">
      <protection locked="0"/>
    </xf>
    <xf numFmtId="14" fontId="7" fillId="7" borderId="0" xfId="0" applyNumberFormat="1" applyFont="1" applyFill="1" applyBorder="1" applyAlignment="1" applyProtection="1">
      <alignment horizontal="center" vertical="center"/>
      <protection locked="0"/>
    </xf>
    <xf numFmtId="0" fontId="42" fillId="7" borderId="0" xfId="0" applyFont="1" applyFill="1" applyAlignment="1" applyProtection="1">
      <alignment vertical="top"/>
      <protection locked="0"/>
    </xf>
    <xf numFmtId="0" fontId="42" fillId="7" borderId="0" xfId="0" applyFont="1" applyFill="1" applyAlignment="1" applyProtection="1">
      <alignment horizontal="left" vertical="top"/>
      <protection locked="0"/>
    </xf>
    <xf numFmtId="0" fontId="6" fillId="22" borderId="56" xfId="0" applyFont="1" applyFill="1" applyBorder="1" applyProtection="1">
      <protection locked="0"/>
    </xf>
    <xf numFmtId="0" fontId="16" fillId="22" borderId="56" xfId="0" applyFont="1" applyFill="1" applyBorder="1" applyProtection="1">
      <protection locked="0"/>
    </xf>
    <xf numFmtId="0" fontId="40" fillId="22" borderId="56" xfId="0" applyFont="1" applyFill="1" applyBorder="1" applyAlignment="1" applyProtection="1">
      <alignment vertical="center"/>
      <protection locked="0"/>
    </xf>
    <xf numFmtId="0" fontId="5" fillId="22" borderId="56" xfId="0" applyFont="1" applyFill="1" applyBorder="1" applyAlignment="1" applyProtection="1">
      <alignment vertical="center"/>
      <protection locked="0"/>
    </xf>
    <xf numFmtId="0" fontId="5" fillId="22" borderId="56" xfId="0" applyFont="1" applyFill="1" applyBorder="1" applyProtection="1">
      <protection locked="0"/>
    </xf>
    <xf numFmtId="0" fontId="44" fillId="7" borderId="41" xfId="0" applyFont="1" applyFill="1" applyBorder="1" applyAlignment="1" applyProtection="1">
      <alignment horizontal="left" vertical="center"/>
      <protection locked="0"/>
    </xf>
    <xf numFmtId="0" fontId="6" fillId="22" borderId="55" xfId="0" applyFont="1" applyFill="1" applyBorder="1" applyAlignment="1" applyProtection="1">
      <alignment horizontal="center"/>
      <protection locked="0"/>
    </xf>
    <xf numFmtId="0" fontId="6" fillId="22" borderId="55" xfId="0" applyFont="1" applyFill="1" applyBorder="1" applyProtection="1">
      <protection locked="0"/>
    </xf>
    <xf numFmtId="0" fontId="42" fillId="22" borderId="55" xfId="0" applyFont="1" applyFill="1" applyBorder="1" applyProtection="1">
      <protection locked="0"/>
    </xf>
    <xf numFmtId="0" fontId="6" fillId="22" borderId="57" xfId="0" applyFont="1" applyFill="1" applyBorder="1" applyAlignment="1" applyProtection="1">
      <protection locked="0"/>
    </xf>
    <xf numFmtId="0" fontId="51" fillId="2" borderId="0" xfId="0" applyFont="1" applyFill="1" applyAlignment="1" applyProtection="1">
      <alignment horizontal="center" vertical="center" wrapText="1"/>
      <protection locked="0"/>
    </xf>
    <xf numFmtId="0" fontId="6" fillId="22" borderId="55" xfId="0" applyFont="1" applyFill="1" applyBorder="1" applyAlignment="1" applyProtection="1">
      <protection locked="0"/>
    </xf>
    <xf numFmtId="0" fontId="6" fillId="22" borderId="18" xfId="0" applyFont="1" applyFill="1" applyBorder="1" applyProtection="1">
      <protection locked="0"/>
    </xf>
    <xf numFmtId="0" fontId="6" fillId="22" borderId="58" xfId="0" applyFont="1" applyFill="1" applyBorder="1" applyProtection="1">
      <protection locked="0"/>
    </xf>
    <xf numFmtId="0" fontId="52" fillId="0" borderId="0" xfId="0" applyFont="1" applyProtection="1"/>
    <xf numFmtId="0" fontId="52" fillId="0" borderId="59" xfId="0" applyFont="1" applyFill="1" applyBorder="1" applyAlignment="1" applyProtection="1">
      <alignment horizontal="center"/>
    </xf>
    <xf numFmtId="0" fontId="52" fillId="0" borderId="60" xfId="0" applyFont="1" applyFill="1" applyBorder="1" applyAlignment="1" applyProtection="1">
      <alignment horizontal="center"/>
    </xf>
    <xf numFmtId="0" fontId="52" fillId="0" borderId="61" xfId="0" applyFont="1" applyBorder="1" applyAlignment="1" applyProtection="1">
      <alignment horizontal="center"/>
    </xf>
    <xf numFmtId="0" fontId="52" fillId="0" borderId="62" xfId="0" applyFont="1" applyBorder="1" applyAlignment="1" applyProtection="1">
      <alignment horizontal="center"/>
    </xf>
    <xf numFmtId="0" fontId="52" fillId="0" borderId="63" xfId="0" applyFont="1" applyBorder="1" applyProtection="1"/>
    <xf numFmtId="0" fontId="52" fillId="0" borderId="64" xfId="0" applyFont="1" applyBorder="1" applyProtection="1"/>
    <xf numFmtId="0" fontId="52" fillId="0" borderId="65" xfId="0" applyFont="1" applyBorder="1" applyProtection="1"/>
    <xf numFmtId="0" fontId="52" fillId="0" borderId="66" xfId="0" applyFont="1" applyBorder="1" applyProtection="1"/>
    <xf numFmtId="0" fontId="23" fillId="2" borderId="0" xfId="0" applyFont="1" applyFill="1" applyBorder="1" applyAlignment="1" applyProtection="1">
      <alignment vertical="center" wrapText="1"/>
      <protection locked="0"/>
    </xf>
    <xf numFmtId="0" fontId="2" fillId="19" borderId="3" xfId="0" applyFont="1" applyFill="1" applyBorder="1" applyAlignment="1" applyProtection="1">
      <alignment horizontal="center" vertical="center"/>
      <protection locked="0"/>
    </xf>
    <xf numFmtId="0" fontId="37" fillId="4" borderId="0" xfId="0" applyFont="1" applyFill="1" applyProtection="1">
      <protection locked="0"/>
    </xf>
    <xf numFmtId="0" fontId="54" fillId="6" borderId="3" xfId="0" applyFont="1" applyFill="1" applyBorder="1" applyAlignment="1" applyProtection="1">
      <alignment horizontal="center" vertical="center"/>
      <protection locked="0"/>
    </xf>
    <xf numFmtId="0" fontId="54" fillId="2" borderId="3" xfId="0" applyFont="1" applyFill="1" applyBorder="1" applyAlignment="1" applyProtection="1">
      <alignment horizontal="center" vertical="center"/>
      <protection locked="0"/>
    </xf>
    <xf numFmtId="49" fontId="2" fillId="2" borderId="3" xfId="0" applyNumberFormat="1" applyFont="1" applyFill="1" applyBorder="1" applyAlignment="1" applyProtection="1">
      <alignment horizontal="left" vertical="center" indent="1"/>
      <protection locked="0"/>
    </xf>
    <xf numFmtId="49" fontId="5" fillId="2" borderId="3" xfId="0" applyNumberFormat="1" applyFont="1" applyFill="1" applyBorder="1" applyAlignment="1" applyProtection="1">
      <alignment horizontal="left" vertical="center"/>
      <protection locked="0"/>
    </xf>
    <xf numFmtId="0" fontId="2" fillId="5" borderId="3" xfId="0" applyFont="1" applyFill="1" applyBorder="1" applyAlignment="1" applyProtection="1">
      <alignment horizontal="center" vertical="center"/>
      <protection locked="0"/>
    </xf>
    <xf numFmtId="0" fontId="2" fillId="4" borderId="3" xfId="0" applyFont="1" applyFill="1" applyBorder="1" applyAlignment="1" applyProtection="1">
      <alignment horizontal="center" vertical="center"/>
      <protection locked="0"/>
    </xf>
    <xf numFmtId="0" fontId="54" fillId="4" borderId="3" xfId="0" applyFont="1" applyFill="1" applyBorder="1" applyAlignment="1" applyProtection="1">
      <alignment horizontal="center" vertical="center"/>
      <protection locked="0"/>
    </xf>
    <xf numFmtId="164" fontId="2" fillId="4" borderId="3" xfId="0" applyNumberFormat="1" applyFont="1" applyFill="1" applyBorder="1" applyAlignment="1" applyProtection="1">
      <alignment horizontal="center" vertical="center"/>
      <protection locked="0"/>
    </xf>
    <xf numFmtId="164" fontId="47" fillId="4" borderId="3" xfId="0" applyNumberFormat="1" applyFont="1" applyFill="1" applyBorder="1" applyAlignment="1" applyProtection="1">
      <alignment horizontal="center" vertical="center"/>
      <protection locked="0"/>
    </xf>
    <xf numFmtId="9" fontId="2" fillId="4" borderId="3" xfId="0" applyNumberFormat="1" applyFont="1" applyFill="1" applyBorder="1" applyAlignment="1" applyProtection="1">
      <alignment horizontal="center" vertical="center"/>
      <protection locked="0"/>
    </xf>
    <xf numFmtId="164" fontId="2" fillId="5" borderId="3" xfId="0" applyNumberFormat="1" applyFont="1" applyFill="1" applyBorder="1" applyAlignment="1" applyProtection="1">
      <alignment horizontal="center" vertical="center"/>
      <protection locked="0"/>
    </xf>
    <xf numFmtId="49" fontId="19" fillId="4" borderId="3" xfId="0" applyNumberFormat="1" applyFont="1" applyFill="1" applyBorder="1" applyAlignment="1" applyProtection="1">
      <alignment horizontal="left" vertical="center"/>
      <protection locked="0"/>
    </xf>
    <xf numFmtId="0" fontId="0" fillId="11" borderId="2" xfId="0" applyFill="1" applyBorder="1" applyProtection="1"/>
    <xf numFmtId="0" fontId="12" fillId="6" borderId="3" xfId="0" applyFont="1" applyFill="1" applyBorder="1" applyAlignment="1" applyProtection="1">
      <alignment vertical="center"/>
      <protection locked="0"/>
    </xf>
    <xf numFmtId="1" fontId="54" fillId="6" borderId="3" xfId="0" applyNumberFormat="1" applyFont="1" applyFill="1" applyBorder="1" applyAlignment="1" applyProtection="1">
      <alignment horizontal="center" vertical="center"/>
      <protection locked="0"/>
    </xf>
    <xf numFmtId="0" fontId="6" fillId="0" borderId="2" xfId="0" applyFont="1" applyBorder="1" applyAlignment="1">
      <alignment horizontal="left" vertical="center"/>
    </xf>
    <xf numFmtId="0" fontId="6" fillId="4" borderId="2" xfId="0" applyFont="1" applyFill="1" applyBorder="1" applyAlignment="1" applyProtection="1">
      <alignment horizontal="center" vertical="center" wrapText="1"/>
    </xf>
    <xf numFmtId="0" fontId="6" fillId="0" borderId="2" xfId="0" applyFont="1" applyFill="1" applyBorder="1" applyAlignment="1" applyProtection="1">
      <alignment vertical="center" wrapText="1"/>
    </xf>
    <xf numFmtId="0" fontId="6" fillId="0" borderId="2" xfId="0" applyFont="1" applyFill="1" applyBorder="1"/>
    <xf numFmtId="0" fontId="6" fillId="0" borderId="2" xfId="0" applyFont="1" applyFill="1" applyBorder="1" applyAlignment="1" applyProtection="1">
      <alignment horizontal="left" vertical="center" wrapText="1"/>
    </xf>
    <xf numFmtId="0" fontId="6" fillId="0" borderId="2" xfId="0" applyFont="1" applyFill="1" applyBorder="1" applyAlignment="1">
      <alignment vertical="center"/>
    </xf>
    <xf numFmtId="0" fontId="6" fillId="0" borderId="2" xfId="0" applyFont="1" applyFill="1" applyBorder="1" applyAlignment="1">
      <alignment horizontal="left" vertical="center" wrapText="1"/>
    </xf>
    <xf numFmtId="0" fontId="11" fillId="0" borderId="2" xfId="0" applyFont="1" applyFill="1" applyBorder="1" applyAlignment="1">
      <alignment vertical="center"/>
    </xf>
    <xf numFmtId="0" fontId="6" fillId="0" borderId="2" xfId="0" applyFont="1" applyFill="1" applyBorder="1" applyAlignment="1" applyProtection="1">
      <alignment wrapText="1"/>
    </xf>
    <xf numFmtId="0" fontId="6" fillId="0" borderId="2" xfId="0" applyFont="1" applyFill="1" applyBorder="1" applyAlignment="1">
      <alignment wrapText="1"/>
    </xf>
    <xf numFmtId="0" fontId="55" fillId="0" borderId="2" xfId="0" applyFont="1" applyFill="1" applyBorder="1" applyAlignment="1" applyProtection="1">
      <alignment vertical="center" wrapText="1"/>
    </xf>
    <xf numFmtId="0" fontId="6" fillId="0" borderId="0" xfId="0" applyFont="1" applyFill="1" applyAlignment="1">
      <alignment horizontal="left" vertical="center" wrapText="1"/>
    </xf>
    <xf numFmtId="0" fontId="6" fillId="0" borderId="2" xfId="102" applyFont="1" applyFill="1" applyBorder="1"/>
    <xf numFmtId="0" fontId="6" fillId="0" borderId="2" xfId="0" applyFont="1" applyFill="1" applyBorder="1" applyProtection="1"/>
    <xf numFmtId="0" fontId="6" fillId="0" borderId="2" xfId="0" applyFont="1" applyFill="1" applyBorder="1" applyAlignment="1" applyProtection="1">
      <alignment horizontal="center" vertical="center" wrapText="1"/>
    </xf>
    <xf numFmtId="0" fontId="6" fillId="0" borderId="49" xfId="0" applyFont="1" applyFill="1" applyBorder="1" applyAlignment="1">
      <alignment horizontal="left" vertical="center" wrapText="1"/>
    </xf>
    <xf numFmtId="0" fontId="0" fillId="0" borderId="0" xfId="0" applyAlignment="1" applyProtection="1">
      <alignment horizontal="left" wrapText="1"/>
    </xf>
    <xf numFmtId="0" fontId="30" fillId="5" borderId="2" xfId="0" applyFont="1" applyFill="1" applyBorder="1" applyAlignment="1" applyProtection="1">
      <alignment horizontal="left" vertical="center" wrapText="1"/>
    </xf>
    <xf numFmtId="0" fontId="6" fillId="0" borderId="2" xfId="0" applyFont="1" applyFill="1" applyBorder="1" applyAlignment="1">
      <alignment horizontal="left" vertical="center"/>
    </xf>
    <xf numFmtId="0" fontId="30" fillId="9" borderId="2" xfId="0" applyFont="1" applyFill="1" applyBorder="1" applyAlignment="1" applyProtection="1">
      <alignment horizontal="center"/>
    </xf>
    <xf numFmtId="0" fontId="27" fillId="0" borderId="2" xfId="0" applyFont="1" applyFill="1" applyBorder="1" applyAlignment="1" applyProtection="1">
      <alignment horizontal="center" vertical="center" wrapText="1"/>
    </xf>
    <xf numFmtId="0" fontId="6" fillId="0" borderId="0" xfId="0" applyFont="1"/>
    <xf numFmtId="0" fontId="27" fillId="4" borderId="2" xfId="0" applyFont="1" applyFill="1" applyBorder="1" applyAlignment="1" applyProtection="1">
      <alignment vertical="center" wrapText="1"/>
    </xf>
    <xf numFmtId="0" fontId="27" fillId="0" borderId="2" xfId="0" applyFont="1" applyFill="1" applyBorder="1" applyAlignment="1" applyProtection="1">
      <alignment vertical="center" wrapText="1"/>
    </xf>
    <xf numFmtId="0" fontId="23" fillId="2" borderId="4" xfId="0" applyFont="1" applyFill="1" applyBorder="1" applyAlignment="1" applyProtection="1">
      <alignment horizontal="center" vertical="center" wrapText="1"/>
      <protection locked="0"/>
    </xf>
    <xf numFmtId="0" fontId="45" fillId="13" borderId="45" xfId="0" applyFont="1" applyFill="1" applyBorder="1" applyAlignment="1" applyProtection="1">
      <alignment horizontal="center" vertical="center"/>
      <protection locked="0"/>
    </xf>
    <xf numFmtId="0" fontId="14" fillId="23" borderId="7" xfId="0" applyFont="1" applyFill="1" applyBorder="1" applyAlignment="1">
      <alignment horizontal="center" vertical="center" wrapText="1"/>
    </xf>
    <xf numFmtId="0" fontId="14" fillId="23" borderId="6" xfId="0" applyFont="1" applyFill="1" applyBorder="1" applyAlignment="1">
      <alignment horizontal="center" vertical="center" wrapText="1"/>
    </xf>
    <xf numFmtId="0" fontId="14" fillId="23" borderId="53" xfId="0" applyFont="1" applyFill="1" applyBorder="1" applyAlignment="1">
      <alignment horizontal="center" vertical="center" wrapText="1"/>
    </xf>
    <xf numFmtId="0" fontId="2" fillId="7" borderId="44" xfId="0" applyFont="1" applyFill="1" applyBorder="1" applyAlignment="1" applyProtection="1">
      <alignment horizontal="center"/>
      <protection locked="0"/>
    </xf>
    <xf numFmtId="0" fontId="2" fillId="7" borderId="47" xfId="0" applyFont="1" applyFill="1" applyBorder="1" applyAlignment="1" applyProtection="1">
      <alignment horizontal="center"/>
      <protection locked="0"/>
    </xf>
    <xf numFmtId="0" fontId="2" fillId="7" borderId="48" xfId="0" applyFont="1" applyFill="1" applyBorder="1" applyAlignment="1" applyProtection="1">
      <alignment horizontal="center"/>
      <protection locked="0"/>
    </xf>
    <xf numFmtId="14" fontId="2" fillId="13" borderId="45" xfId="0" applyNumberFormat="1" applyFont="1" applyFill="1" applyBorder="1" applyAlignment="1" applyProtection="1">
      <alignment horizontal="center"/>
      <protection locked="0"/>
    </xf>
    <xf numFmtId="0" fontId="2" fillId="13" borderId="45" xfId="0" applyFont="1" applyFill="1" applyBorder="1" applyAlignment="1" applyProtection="1">
      <alignment horizontal="center"/>
      <protection locked="0"/>
    </xf>
    <xf numFmtId="0" fontId="2" fillId="7" borderId="44" xfId="0" applyFont="1" applyFill="1" applyBorder="1" applyAlignment="1" applyProtection="1">
      <alignment horizontal="left"/>
      <protection locked="0"/>
    </xf>
    <xf numFmtId="0" fontId="2" fillId="7" borderId="47" xfId="0" applyFont="1" applyFill="1" applyBorder="1" applyAlignment="1" applyProtection="1">
      <alignment horizontal="left"/>
      <protection locked="0"/>
    </xf>
    <xf numFmtId="0" fontId="2" fillId="7" borderId="48" xfId="0" applyFont="1" applyFill="1" applyBorder="1" applyAlignment="1" applyProtection="1">
      <alignment horizontal="left"/>
      <protection locked="0"/>
    </xf>
    <xf numFmtId="0" fontId="23" fillId="7" borderId="45" xfId="0" applyFont="1" applyFill="1" applyBorder="1" applyAlignment="1" applyProtection="1">
      <alignment horizontal="center"/>
      <protection locked="0"/>
    </xf>
    <xf numFmtId="0" fontId="45" fillId="13" borderId="45" xfId="0" applyFont="1" applyFill="1" applyBorder="1" applyAlignment="1" applyProtection="1">
      <alignment horizontal="center" vertical="center"/>
      <protection locked="0"/>
    </xf>
    <xf numFmtId="0" fontId="5" fillId="13" borderId="45" xfId="0" applyFont="1" applyFill="1" applyBorder="1" applyAlignment="1" applyProtection="1">
      <alignment horizontal="center"/>
      <protection locked="0"/>
    </xf>
    <xf numFmtId="0" fontId="2" fillId="7" borderId="22" xfId="0" applyFont="1" applyFill="1" applyBorder="1" applyAlignment="1" applyProtection="1">
      <alignment horizontal="center"/>
      <protection locked="0"/>
    </xf>
    <xf numFmtId="0" fontId="2" fillId="7" borderId="23" xfId="0" applyFont="1" applyFill="1" applyBorder="1" applyAlignment="1" applyProtection="1">
      <alignment horizontal="center"/>
      <protection locked="0"/>
    </xf>
    <xf numFmtId="0" fontId="2" fillId="7" borderId="24" xfId="0" applyFont="1" applyFill="1" applyBorder="1" applyAlignment="1" applyProtection="1">
      <alignment horizontal="center"/>
      <protection locked="0"/>
    </xf>
    <xf numFmtId="17" fontId="18" fillId="2" borderId="0" xfId="0" applyNumberFormat="1" applyFont="1" applyFill="1" applyBorder="1" applyAlignment="1" applyProtection="1">
      <alignment horizontal="center" vertical="top" textRotation="90"/>
      <protection locked="0"/>
    </xf>
    <xf numFmtId="0" fontId="2" fillId="7" borderId="2" xfId="0" applyFont="1" applyFill="1" applyBorder="1" applyAlignment="1" applyProtection="1">
      <alignment horizontal="center"/>
      <protection locked="0"/>
    </xf>
    <xf numFmtId="0" fontId="2" fillId="7" borderId="45" xfId="0" applyFont="1" applyFill="1" applyBorder="1" applyAlignment="1" applyProtection="1">
      <alignment horizontal="center"/>
      <protection locked="0"/>
    </xf>
    <xf numFmtId="0" fontId="45" fillId="13" borderId="2" xfId="0" applyFont="1" applyFill="1" applyBorder="1" applyAlignment="1" applyProtection="1">
      <alignment horizontal="center" vertical="center"/>
      <protection locked="0"/>
    </xf>
    <xf numFmtId="0" fontId="2" fillId="7" borderId="26" xfId="0" applyFont="1" applyFill="1" applyBorder="1" applyAlignment="1" applyProtection="1">
      <alignment horizontal="center"/>
      <protection locked="0"/>
    </xf>
    <xf numFmtId="0" fontId="2" fillId="7" borderId="46" xfId="0" applyFont="1" applyFill="1" applyBorder="1" applyAlignment="1" applyProtection="1">
      <alignment horizontal="center"/>
      <protection locked="0"/>
    </xf>
    <xf numFmtId="0" fontId="2" fillId="7" borderId="22" xfId="0" applyFont="1" applyFill="1" applyBorder="1" applyAlignment="1" applyProtection="1">
      <alignment horizontal="left"/>
      <protection locked="0"/>
    </xf>
    <xf numFmtId="0" fontId="2" fillId="7" borderId="23" xfId="0" applyFont="1" applyFill="1" applyBorder="1" applyAlignment="1" applyProtection="1">
      <alignment horizontal="left"/>
      <protection locked="0"/>
    </xf>
    <xf numFmtId="0" fontId="2" fillId="7" borderId="24" xfId="0" applyFont="1" applyFill="1" applyBorder="1" applyAlignment="1" applyProtection="1">
      <alignment horizontal="left"/>
      <protection locked="0"/>
    </xf>
    <xf numFmtId="0" fontId="5" fillId="13" borderId="54" xfId="0" applyFont="1" applyFill="1" applyBorder="1" applyAlignment="1" applyProtection="1">
      <alignment horizontal="center"/>
      <protection locked="0"/>
    </xf>
    <xf numFmtId="0" fontId="5" fillId="13" borderId="50" xfId="0" applyFont="1" applyFill="1" applyBorder="1" applyAlignment="1" applyProtection="1">
      <alignment horizontal="center"/>
      <protection locked="0"/>
    </xf>
    <xf numFmtId="0" fontId="45" fillId="13" borderId="44" xfId="0" applyFont="1" applyFill="1" applyBorder="1" applyAlignment="1" applyProtection="1">
      <alignment horizontal="center" vertical="center"/>
      <protection locked="0"/>
    </xf>
    <xf numFmtId="0" fontId="45" fillId="13" borderId="48" xfId="0" applyFont="1" applyFill="1" applyBorder="1" applyAlignment="1" applyProtection="1">
      <alignment horizontal="center" vertical="center"/>
      <protection locked="0"/>
    </xf>
    <xf numFmtId="0" fontId="23" fillId="2" borderId="0" xfId="0" quotePrefix="1" applyFont="1" applyFill="1" applyBorder="1" applyAlignment="1" applyProtection="1">
      <alignment horizontal="center" vertical="center" wrapText="1"/>
      <protection locked="0"/>
    </xf>
    <xf numFmtId="0" fontId="23" fillId="2" borderId="0" xfId="0" applyFont="1" applyFill="1" applyBorder="1" applyAlignment="1" applyProtection="1">
      <alignment horizontal="center" vertical="center" wrapText="1"/>
      <protection locked="0"/>
    </xf>
    <xf numFmtId="17" fontId="17" fillId="2" borderId="18" xfId="0" applyNumberFormat="1" applyFont="1" applyFill="1" applyBorder="1" applyAlignment="1" applyProtection="1">
      <alignment horizontal="center" vertical="center"/>
      <protection locked="0"/>
    </xf>
    <xf numFmtId="17" fontId="17" fillId="2" borderId="0" xfId="0" applyNumberFormat="1" applyFont="1" applyFill="1" applyBorder="1" applyAlignment="1" applyProtection="1">
      <alignment horizontal="center" vertical="center"/>
      <protection locked="0"/>
    </xf>
    <xf numFmtId="17" fontId="17" fillId="2" borderId="19" xfId="0" applyNumberFormat="1" applyFont="1" applyFill="1" applyBorder="1" applyAlignment="1" applyProtection="1">
      <alignment horizontal="center" vertical="center"/>
      <protection locked="0"/>
    </xf>
    <xf numFmtId="0" fontId="12" fillId="2" borderId="0" xfId="0" applyFont="1" applyFill="1" applyAlignment="1" applyProtection="1">
      <alignment horizontal="center" vertical="center" wrapText="1"/>
      <protection locked="0"/>
    </xf>
    <xf numFmtId="0" fontId="12" fillId="2" borderId="0" xfId="0" applyFont="1" applyFill="1" applyBorder="1" applyAlignment="1" applyProtection="1">
      <alignment horizontal="center"/>
      <protection locked="0"/>
    </xf>
    <xf numFmtId="0" fontId="12" fillId="2" borderId="20" xfId="0" applyFont="1" applyFill="1" applyBorder="1" applyAlignment="1" applyProtection="1">
      <alignment horizontal="center" vertical="center" wrapText="1"/>
      <protection locked="0"/>
    </xf>
    <xf numFmtId="0" fontId="12" fillId="2" borderId="21" xfId="0" applyFont="1" applyFill="1" applyBorder="1" applyAlignment="1" applyProtection="1">
      <alignment horizontal="center" vertical="center" wrapText="1"/>
      <protection locked="0"/>
    </xf>
    <xf numFmtId="0" fontId="3" fillId="2" borderId="4" xfId="0" applyFont="1" applyFill="1" applyBorder="1" applyAlignment="1" applyProtection="1">
      <alignment horizontal="center"/>
      <protection locked="0"/>
    </xf>
    <xf numFmtId="0" fontId="23" fillId="2" borderId="4" xfId="0" applyFont="1" applyFill="1" applyBorder="1" applyAlignment="1" applyProtection="1">
      <alignment horizontal="center" vertical="center" wrapText="1"/>
      <protection locked="0"/>
    </xf>
    <xf numFmtId="0" fontId="10" fillId="6" borderId="3" xfId="0" applyFont="1" applyFill="1" applyBorder="1" applyAlignment="1" applyProtection="1">
      <alignment horizontal="left" vertical="center"/>
      <protection locked="0"/>
    </xf>
    <xf numFmtId="0" fontId="5" fillId="2" borderId="3" xfId="0" applyFont="1" applyFill="1" applyBorder="1" applyAlignment="1" applyProtection="1">
      <alignment horizontal="left" vertical="center" indent="1"/>
      <protection locked="0"/>
    </xf>
    <xf numFmtId="0" fontId="2" fillId="2" borderId="3" xfId="0" applyFont="1" applyFill="1" applyBorder="1" applyAlignment="1" applyProtection="1">
      <alignment horizontal="left" vertical="center" indent="2"/>
      <protection locked="0"/>
    </xf>
    <xf numFmtId="0" fontId="10" fillId="4" borderId="3" xfId="0" applyFont="1" applyFill="1" applyBorder="1" applyAlignment="1" applyProtection="1">
      <alignment horizontal="left" vertical="center"/>
      <protection locked="0"/>
    </xf>
    <xf numFmtId="0" fontId="26" fillId="4" borderId="5" xfId="0" applyFont="1" applyFill="1" applyBorder="1" applyAlignment="1">
      <alignment horizontal="left" vertical="center" indent="4"/>
    </xf>
    <xf numFmtId="0" fontId="30" fillId="5" borderId="22" xfId="0" applyFont="1" applyFill="1" applyBorder="1" applyAlignment="1" applyProtection="1">
      <alignment horizontal="center"/>
    </xf>
    <xf numFmtId="0" fontId="30" fillId="5" borderId="24" xfId="0" applyFont="1" applyFill="1" applyBorder="1" applyAlignment="1" applyProtection="1">
      <alignment horizontal="center"/>
    </xf>
    <xf numFmtId="0" fontId="30" fillId="5" borderId="2" xfId="0" applyFont="1" applyFill="1" applyBorder="1" applyAlignment="1" applyProtection="1">
      <alignment horizontal="center" wrapText="1"/>
    </xf>
    <xf numFmtId="0" fontId="6" fillId="14" borderId="42" xfId="0" applyFont="1" applyFill="1" applyBorder="1" applyAlignment="1" applyProtection="1">
      <alignment horizontal="center"/>
    </xf>
    <xf numFmtId="0" fontId="6" fillId="14" borderId="43" xfId="0" applyFont="1" applyFill="1" applyBorder="1" applyAlignment="1" applyProtection="1">
      <alignment horizontal="center"/>
    </xf>
    <xf numFmtId="0" fontId="30" fillId="9" borderId="2" xfId="0" applyFont="1" applyFill="1" applyBorder="1" applyAlignment="1" applyProtection="1">
      <alignment horizontal="center"/>
    </xf>
    <xf numFmtId="0" fontId="30" fillId="9" borderId="22" xfId="0" applyFont="1" applyFill="1" applyBorder="1" applyAlignment="1" applyProtection="1">
      <alignment horizontal="center"/>
    </xf>
    <xf numFmtId="0" fontId="30" fillId="9" borderId="23" xfId="0" applyFont="1" applyFill="1" applyBorder="1" applyAlignment="1" applyProtection="1">
      <alignment horizontal="center"/>
    </xf>
    <xf numFmtId="0" fontId="30" fillId="9" borderId="24" xfId="0" applyFont="1" applyFill="1" applyBorder="1" applyAlignment="1" applyProtection="1">
      <alignment horizontal="center"/>
    </xf>
    <xf numFmtId="0" fontId="6" fillId="0" borderId="2" xfId="0" applyFont="1" applyBorder="1" applyAlignment="1">
      <alignment horizontal="left" vertical="center"/>
    </xf>
    <xf numFmtId="0" fontId="0" fillId="0" borderId="2" xfId="0" applyBorder="1" applyAlignment="1">
      <alignment horizontal="left" vertical="center"/>
    </xf>
    <xf numFmtId="0" fontId="6" fillId="16" borderId="2" xfId="0" applyFont="1" applyFill="1" applyBorder="1" applyAlignment="1" applyProtection="1">
      <alignment horizontal="left"/>
    </xf>
    <xf numFmtId="0" fontId="0" fillId="15" borderId="2" xfId="0" applyFill="1" applyBorder="1" applyAlignment="1" applyProtection="1">
      <alignment horizontal="center" vertical="top" wrapText="1"/>
    </xf>
    <xf numFmtId="0" fontId="30" fillId="9" borderId="26" xfId="0" applyFont="1" applyFill="1" applyBorder="1" applyAlignment="1" applyProtection="1">
      <alignment horizontal="center" vertical="center"/>
    </xf>
    <xf numFmtId="0" fontId="30" fillId="9" borderId="27" xfId="0" applyFont="1" applyFill="1" applyBorder="1" applyAlignment="1" applyProtection="1">
      <alignment horizontal="center" vertical="center"/>
    </xf>
    <xf numFmtId="0" fontId="30" fillId="9" borderId="7" xfId="0" applyFont="1" applyFill="1" applyBorder="1" applyAlignment="1" applyProtection="1">
      <alignment horizontal="center" vertical="center"/>
    </xf>
    <xf numFmtId="0" fontId="30" fillId="9" borderId="8" xfId="0" applyFont="1" applyFill="1" applyBorder="1" applyAlignment="1" applyProtection="1">
      <alignment horizontal="center" vertical="center"/>
    </xf>
    <xf numFmtId="14" fontId="0" fillId="15" borderId="2" xfId="0" applyNumberFormat="1" applyFill="1" applyBorder="1" applyAlignment="1" applyProtection="1">
      <alignment horizontal="center"/>
    </xf>
    <xf numFmtId="0" fontId="0" fillId="15" borderId="2" xfId="0" applyFill="1" applyBorder="1" applyAlignment="1" applyProtection="1">
      <alignment horizontal="center"/>
    </xf>
    <xf numFmtId="0" fontId="20" fillId="12" borderId="0" xfId="0" applyFont="1" applyFill="1" applyAlignment="1" applyProtection="1">
      <alignment horizontal="center"/>
    </xf>
    <xf numFmtId="0" fontId="6" fillId="0" borderId="2" xfId="0" applyFont="1" applyBorder="1" applyAlignment="1" applyProtection="1">
      <alignment horizontal="center"/>
    </xf>
    <xf numFmtId="0" fontId="20" fillId="12" borderId="28" xfId="0" applyFont="1" applyFill="1" applyBorder="1" applyAlignment="1" applyProtection="1">
      <alignment horizontal="center"/>
    </xf>
    <xf numFmtId="0" fontId="20" fillId="12" borderId="29" xfId="0" applyFont="1" applyFill="1" applyBorder="1" applyAlignment="1" applyProtection="1">
      <alignment horizontal="center"/>
    </xf>
    <xf numFmtId="0" fontId="30" fillId="9" borderId="32" xfId="0" applyFont="1" applyFill="1" applyBorder="1" applyAlignment="1" applyProtection="1">
      <alignment horizontal="center" vertical="center"/>
    </xf>
    <xf numFmtId="0" fontId="30" fillId="9" borderId="33" xfId="0" applyFont="1" applyFill="1" applyBorder="1" applyAlignment="1" applyProtection="1">
      <alignment horizontal="center" vertical="center"/>
    </xf>
    <xf numFmtId="0" fontId="30" fillId="9" borderId="34" xfId="0" applyFont="1" applyFill="1" applyBorder="1" applyAlignment="1" applyProtection="1">
      <alignment horizontal="center" vertical="center"/>
    </xf>
    <xf numFmtId="0" fontId="30" fillId="9" borderId="35" xfId="0" applyFont="1" applyFill="1" applyBorder="1" applyAlignment="1" applyProtection="1">
      <alignment horizontal="center" vertical="center"/>
    </xf>
    <xf numFmtId="14" fontId="6" fillId="15" borderId="36" xfId="0" applyNumberFormat="1" applyFont="1" applyFill="1" applyBorder="1" applyAlignment="1" applyProtection="1">
      <alignment horizontal="center"/>
    </xf>
    <xf numFmtId="0" fontId="0" fillId="15" borderId="37" xfId="0" applyFill="1" applyBorder="1" applyAlignment="1" applyProtection="1">
      <alignment horizontal="center"/>
    </xf>
    <xf numFmtId="0" fontId="6" fillId="15" borderId="38" xfId="0" applyFont="1" applyFill="1" applyBorder="1" applyAlignment="1" applyProtection="1">
      <alignment horizontal="center"/>
    </xf>
    <xf numFmtId="0" fontId="0" fillId="15" borderId="39" xfId="0" applyFill="1" applyBorder="1" applyAlignment="1" applyProtection="1">
      <alignment horizontal="center"/>
    </xf>
    <xf numFmtId="0" fontId="30" fillId="9" borderId="32" xfId="0" applyFont="1" applyFill="1" applyBorder="1" applyAlignment="1" applyProtection="1">
      <alignment horizontal="center" vertical="center" wrapText="1"/>
    </xf>
    <xf numFmtId="0" fontId="6" fillId="15" borderId="36" xfId="0" applyFont="1" applyFill="1" applyBorder="1" applyAlignment="1" applyProtection="1">
      <alignment horizontal="center"/>
    </xf>
  </cellXfs>
  <cellStyles count="148">
    <cellStyle name="Hyperlink 2" xfId="10" xr:uid="{00000000-0005-0000-0000-000090000000}"/>
    <cellStyle name="Lien hypertexte" xfId="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xfId="82" builtinId="8" hidden="1"/>
    <cellStyle name="Lien hypertexte" xfId="84" builtinId="8" hidden="1"/>
    <cellStyle name="Lien hypertexte" xfId="86" builtinId="8" hidden="1"/>
    <cellStyle name="Lien hypertexte" xfId="88" builtinId="8" hidden="1"/>
    <cellStyle name="Lien hypertexte" xfId="90" builtinId="8" hidden="1"/>
    <cellStyle name="Lien hypertexte" xfId="92" builtinId="8" hidden="1"/>
    <cellStyle name="Lien hypertexte" xfId="94" builtinId="8" hidden="1"/>
    <cellStyle name="Lien hypertexte" xfId="96" builtinId="8" hidden="1"/>
    <cellStyle name="Lien hypertexte" xfId="98" builtinId="8" hidden="1"/>
    <cellStyle name="Lien hypertexte" xfId="100" builtinId="8" hidden="1"/>
    <cellStyle name="Lien hypertexte" xfId="102" builtinId="8"/>
    <cellStyle name="Lien hypertexte visité" xfId="3" builtinId="9" hidden="1"/>
    <cellStyle name="Lien hypertexte visité" xfId="4" builtinId="9" hidden="1"/>
    <cellStyle name="Lien hypertexte visité" xfId="5" builtinId="9" hidden="1"/>
    <cellStyle name="Lien hypertexte visité" xfId="6" builtinId="9" hidden="1"/>
    <cellStyle name="Lien hypertexte visité" xfId="7" builtinId="9" hidden="1"/>
    <cellStyle name="Lien hypertexte visité" xfId="8" builtinId="9" hidden="1"/>
    <cellStyle name="Lien hypertexte visité" xfId="11" builtinId="9" hidden="1"/>
    <cellStyle name="Lien hypertexte visité" xfId="12"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Lien hypertexte visité" xfId="83" builtinId="9" hidden="1"/>
    <cellStyle name="Lien hypertexte visité" xfId="85" builtinId="9" hidden="1"/>
    <cellStyle name="Lien hypertexte visité" xfId="87" builtinId="9" hidden="1"/>
    <cellStyle name="Lien hypertexte visité" xfId="89" builtinId="9" hidden="1"/>
    <cellStyle name="Lien hypertexte visité" xfId="91" builtinId="9" hidden="1"/>
    <cellStyle name="Lien hypertexte visité" xfId="93" builtinId="9" hidden="1"/>
    <cellStyle name="Lien hypertexte visité" xfId="95" builtinId="9" hidden="1"/>
    <cellStyle name="Lien hypertexte visité" xfId="97" builtinId="9" hidden="1"/>
    <cellStyle name="Lien hypertexte visité" xfId="99" builtinId="9" hidden="1"/>
    <cellStyle name="Lien hypertexte visité" xfId="101" builtinId="9" hidden="1"/>
    <cellStyle name="Lien hypertexte visité" xfId="103" builtinId="9" hidden="1"/>
    <cellStyle name="Lien hypertexte visité" xfId="104" builtinId="9" hidden="1"/>
    <cellStyle name="Lien hypertexte visité" xfId="105" builtinId="9" hidden="1"/>
    <cellStyle name="Lien hypertexte visité" xfId="106" builtinId="9" hidden="1"/>
    <cellStyle name="Lien hypertexte visité" xfId="107" builtinId="9" hidden="1"/>
    <cellStyle name="Lien hypertexte visité" xfId="108" builtinId="9" hidden="1"/>
    <cellStyle name="Lien hypertexte visité" xfId="109" builtinId="9" hidden="1"/>
    <cellStyle name="Lien hypertexte visité" xfId="110" builtinId="9" hidden="1"/>
    <cellStyle name="Lien hypertexte visité" xfId="111" builtinId="9" hidden="1"/>
    <cellStyle name="Lien hypertexte visité" xfId="112" builtinId="9" hidden="1"/>
    <cellStyle name="Lien hypertexte visité" xfId="113" builtinId="9" hidden="1"/>
    <cellStyle name="Lien hypertexte visité" xfId="114" builtinId="9" hidden="1"/>
    <cellStyle name="Lien hypertexte visité" xfId="115" builtinId="9" hidden="1"/>
    <cellStyle name="Lien hypertexte visité" xfId="116" builtinId="9" hidden="1"/>
    <cellStyle name="Lien hypertexte visité" xfId="117" builtinId="9" hidden="1"/>
    <cellStyle name="Lien hypertexte visité" xfId="118" builtinId="9" hidden="1"/>
    <cellStyle name="Lien hypertexte visité" xfId="119" builtinId="9" hidden="1"/>
    <cellStyle name="Lien hypertexte visité" xfId="120" builtinId="9" hidden="1"/>
    <cellStyle name="Lien hypertexte visité" xfId="121" builtinId="9" hidden="1"/>
    <cellStyle name="Lien hypertexte visité" xfId="122" builtinId="9" hidden="1"/>
    <cellStyle name="Lien hypertexte visité" xfId="123" builtinId="9" hidden="1"/>
    <cellStyle name="Lien hypertexte visité" xfId="124" builtinId="9" hidden="1"/>
    <cellStyle name="Lien hypertexte visité" xfId="125" builtinId="9" hidden="1"/>
    <cellStyle name="Lien hypertexte visité" xfId="126" builtinId="9" hidden="1"/>
    <cellStyle name="Lien hypertexte visité" xfId="127" builtinId="9" hidden="1"/>
    <cellStyle name="Lien hypertexte visité" xfId="128" builtinId="9" hidden="1"/>
    <cellStyle name="Lien hypertexte visité" xfId="129" builtinId="9" hidden="1"/>
    <cellStyle name="Lien hypertexte visité" xfId="130" builtinId="9" hidden="1"/>
    <cellStyle name="Lien hypertexte visité" xfId="131" builtinId="9" hidden="1"/>
    <cellStyle name="Lien hypertexte visité" xfId="132" builtinId="9" hidden="1"/>
    <cellStyle name="Lien hypertexte visité" xfId="133" builtinId="9" hidden="1"/>
    <cellStyle name="Lien hypertexte visité" xfId="134" builtinId="9" hidden="1"/>
    <cellStyle name="Lien hypertexte visité" xfId="135" builtinId="9" hidden="1"/>
    <cellStyle name="Lien hypertexte visité" xfId="136" builtinId="9" hidden="1"/>
    <cellStyle name="Lien hypertexte visité" xfId="137" builtinId="9" hidden="1"/>
    <cellStyle name="Lien hypertexte visité" xfId="138" builtinId="9" hidden="1"/>
    <cellStyle name="Lien hypertexte visité" xfId="139" builtinId="9" hidden="1"/>
    <cellStyle name="Lien hypertexte visité" xfId="140" builtinId="9" hidden="1"/>
    <cellStyle name="Lien hypertexte visité" xfId="141" builtinId="9" hidden="1"/>
    <cellStyle name="Lien hypertexte visité" xfId="142" builtinId="9" hidden="1"/>
    <cellStyle name="Lien hypertexte visité" xfId="143" builtinId="9" hidden="1"/>
    <cellStyle name="Lien hypertexte visité" xfId="144" builtinId="9" hidden="1"/>
    <cellStyle name="Lien hypertexte visité" xfId="145" builtinId="9" hidden="1"/>
    <cellStyle name="Lien hypertexte visité" xfId="146" builtinId="9" hidden="1"/>
    <cellStyle name="Lien hypertexte visité" xfId="147" builtinId="9" hidden="1"/>
    <cellStyle name="Normal" xfId="0" builtinId="0"/>
    <cellStyle name="Normal 2" xfId="9" xr:uid="{00000000-0005-0000-0000-000092000000}"/>
    <cellStyle name="Pourcentage" xfId="1" builtinId="5"/>
  </cellStyles>
  <dxfs count="181">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border>
        <left style="thin">
          <color rgb="FFCC0000"/>
        </left>
      </border>
    </dxf>
    <dxf>
      <fill>
        <patternFill>
          <bgColor rgb="FFC00000"/>
        </patternFill>
      </fill>
    </dxf>
    <dxf>
      <font>
        <color theme="9" tint="-0.24994659260841701"/>
      </font>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border>
        <left style="thin">
          <color rgb="FFCC0000"/>
        </left>
      </border>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ont>
        <color theme="9" tint="-0.24994659260841701"/>
      </font>
    </dxf>
    <dxf>
      <border>
        <left style="thin">
          <color rgb="FFCC0000"/>
        </left>
      </border>
    </dxf>
    <dxf>
      <border>
        <left style="thin">
          <color rgb="FFCC0000"/>
        </left>
      </border>
    </dxf>
    <dxf>
      <border>
        <left style="thin">
          <color rgb="FFCC0000"/>
        </left>
      </border>
    </dxf>
    <dxf>
      <font>
        <color theme="9" tint="-0.24994659260841701"/>
      </font>
    </dxf>
    <dxf>
      <border>
        <left style="thin">
          <color rgb="FFCC0000"/>
        </left>
      </border>
    </dxf>
    <dxf>
      <font>
        <color theme="9" tint="-0.24994659260841701"/>
      </font>
    </dxf>
    <dxf>
      <border>
        <left style="thin">
          <color rgb="FFCC0000"/>
        </left>
      </border>
    </dxf>
    <dxf>
      <fill>
        <patternFill patternType="gray125">
          <fgColor theme="0" tint="-0.34998626667073579"/>
          <bgColor auto="1"/>
        </patternFill>
      </fill>
    </dxf>
    <dxf>
      <fill>
        <patternFill>
          <bgColor rgb="FFC00000"/>
        </patternFill>
      </fill>
    </dxf>
    <dxf>
      <fill>
        <patternFill>
          <bgColor rgb="FF00B050"/>
        </patternFill>
      </fill>
    </dxf>
    <dxf>
      <fill>
        <patternFill>
          <bgColor rgb="FFA162D0"/>
        </patternFill>
      </fill>
    </dxf>
    <dxf>
      <fill>
        <patternFill>
          <bgColor rgb="FFFFFF66"/>
        </patternFill>
      </fill>
    </dxf>
    <dxf>
      <fill>
        <patternFill>
          <bgColor rgb="FFFF438F"/>
        </patternFill>
      </fill>
    </dxf>
    <dxf>
      <fill>
        <patternFill>
          <bgColor rgb="FF003296"/>
        </patternFill>
      </fill>
    </dxf>
    <dxf>
      <border>
        <left style="thin">
          <color rgb="FFCC0000"/>
        </left>
      </border>
    </dxf>
    <dxf>
      <fill>
        <patternFill>
          <bgColor theme="0" tint="-0.34998626667073579"/>
        </patternFill>
      </fill>
    </dxf>
    <dxf>
      <fill>
        <patternFill>
          <bgColor rgb="FFB48A5C"/>
        </patternFill>
      </fill>
    </dxf>
    <dxf>
      <fill>
        <patternFill>
          <bgColor theme="1" tint="0.24994659260841701"/>
        </patternFill>
      </fill>
    </dxf>
    <dxf>
      <fill>
        <patternFill>
          <bgColor rgb="FF6666FF"/>
        </patternFill>
      </fill>
    </dxf>
    <dxf>
      <fill>
        <patternFill>
          <bgColor rgb="FF69D8FF"/>
        </patternFill>
      </fill>
    </dxf>
    <dxf>
      <fill>
        <patternFill>
          <bgColor rgb="FFC00000"/>
        </patternFill>
      </fill>
    </dxf>
    <dxf>
      <fill>
        <patternFill patternType="gray125">
          <fgColor theme="8" tint="-0.24994659260841701"/>
          <bgColor auto="1"/>
        </patternFill>
      </fill>
    </dxf>
    <dxf>
      <fill>
        <patternFill patternType="solid">
          <fgColor indexed="64"/>
          <bgColor rgb="FFFFB7DB"/>
        </patternFill>
      </fill>
    </dxf>
    <dxf>
      <fill>
        <patternFill patternType="mediumGray">
          <fgColor theme="0"/>
          <bgColor rgb="FFFF0000"/>
        </patternFill>
      </fill>
    </dxf>
    <dxf>
      <fill>
        <patternFill>
          <bgColor rgb="FFDE006F"/>
        </patternFill>
      </fill>
    </dxf>
    <dxf>
      <fill>
        <patternFill patternType="gray125">
          <fgColor theme="8" tint="-0.24994659260841701"/>
          <bgColor auto="1"/>
        </patternFill>
      </fill>
    </dxf>
    <dxf>
      <fill>
        <patternFill patternType="solid">
          <fgColor indexed="64"/>
          <bgColor theme="9" tint="0.59996337778862885"/>
        </patternFill>
      </fill>
    </dxf>
    <dxf>
      <fill>
        <patternFill patternType="mediumGray">
          <fgColor theme="0"/>
          <bgColor rgb="FFFF0000"/>
        </patternFill>
      </fill>
    </dxf>
    <dxf>
      <fill>
        <patternFill>
          <bgColor rgb="FFF57B17"/>
        </patternFill>
      </fill>
    </dxf>
    <dxf>
      <fill>
        <patternFill patternType="gray125">
          <fgColor theme="8" tint="-0.24994659260841701"/>
          <bgColor auto="1"/>
        </patternFill>
      </fill>
    </dxf>
    <dxf>
      <fill>
        <patternFill patternType="solid">
          <fgColor indexed="64"/>
          <bgColor theme="7" tint="0.39994506668294322"/>
        </patternFill>
      </fill>
    </dxf>
    <dxf>
      <fill>
        <patternFill patternType="mediumGray">
          <fgColor theme="0"/>
          <bgColor rgb="FFEF438D"/>
        </patternFill>
      </fill>
    </dxf>
    <dxf>
      <fill>
        <patternFill>
          <bgColor theme="7" tint="-0.24994659260841701"/>
        </patternFill>
      </fill>
    </dxf>
    <dxf>
      <fill>
        <patternFill patternType="gray125">
          <fgColor theme="8" tint="-0.24994659260841701"/>
          <bgColor auto="1"/>
        </patternFill>
      </fill>
    </dxf>
    <dxf>
      <fill>
        <patternFill patternType="solid">
          <fgColor indexed="64"/>
          <bgColor theme="4" tint="0.59996337778862885"/>
        </patternFill>
      </fill>
    </dxf>
    <dxf>
      <fill>
        <patternFill patternType="mediumGray">
          <fgColor rgb="FFFF0000"/>
          <bgColor theme="3" tint="0.39994506668294322"/>
        </patternFill>
      </fill>
    </dxf>
    <dxf>
      <fill>
        <patternFill>
          <bgColor theme="3" tint="0.39994506668294322"/>
        </patternFill>
      </fill>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font>
        <color theme="9" tint="-0.24994659260841701"/>
      </font>
    </dxf>
    <dxf>
      <border>
        <left style="thin">
          <color rgb="FFCC0000"/>
        </left>
      </border>
    </dxf>
    <dxf>
      <border>
        <left style="thin">
          <color rgb="FFCC0000"/>
        </left>
      </border>
    </dxf>
    <dxf>
      <border>
        <left style="thin">
          <color rgb="FFCC0000"/>
        </left>
      </border>
    </dxf>
    <dxf>
      <border>
        <left style="thin">
          <color rgb="FFCC0000"/>
        </left>
      </border>
    </dxf>
    <dxf>
      <border>
        <left style="thin">
          <color rgb="FFCC0000"/>
        </left>
      </border>
    </dxf>
    <dxf>
      <font>
        <color theme="1"/>
      </font>
      <border>
        <left style="thin">
          <color indexed="55"/>
        </left>
      </border>
    </dxf>
    <dxf>
      <font>
        <color theme="1"/>
      </font>
    </dxf>
    <dxf>
      <border>
        <left style="thin">
          <color theme="0" tint="-0.24994659260841701"/>
        </left>
        <vertical/>
        <horizontal/>
      </border>
    </dxf>
    <dxf>
      <font>
        <color theme="9" tint="-0.24994659260841701"/>
      </font>
    </dxf>
    <dxf>
      <border>
        <left style="thin">
          <color rgb="FFCC0000"/>
        </left>
      </border>
    </dxf>
    <dxf>
      <border>
        <left style="thin">
          <color theme="0" tint="-0.34998626667073579"/>
        </left>
        <vertical/>
        <horizontal/>
      </border>
    </dxf>
    <dxf>
      <font>
        <color rgb="FFFF0000"/>
      </font>
    </dxf>
    <dxf>
      <border>
        <left style="thin">
          <color theme="0" tint="-0.24994659260841701"/>
        </left>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DDDDDD"/>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C0C0C0"/>
      <rgbColor rgb="00003366"/>
      <rgbColor rgb="00339966"/>
      <rgbColor rgb="00003300"/>
      <rgbColor rgb="00333300"/>
      <rgbColor rgb="00993300"/>
      <rgbColor rgb="00993366"/>
      <rgbColor rgb="00333399"/>
      <rgbColor rgb="00333333"/>
    </indexedColors>
    <mruColors>
      <color rgb="FFFF6600"/>
      <color rgb="FFFFFF66"/>
      <color rgb="FFFF9900"/>
      <color rgb="FFFFCC00"/>
      <color rgb="FFFFFF00"/>
      <color rgb="FF003296"/>
      <color rgb="FFFFFF9F"/>
      <color rgb="FFFFFFCC"/>
      <color rgb="FF69D8FF"/>
      <color rgb="FF68BC6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fmlaLink="Gantt!$HG$7" lockText="1" noThreeD="1"/>
</file>

<file path=xl/ctrlProps/ctrlProp2.xml><?xml version="1.0" encoding="utf-8"?>
<formControlPr xmlns="http://schemas.microsoft.com/office/spreadsheetml/2009/9/main" objectType="CheckBox" fmlaLink="Gantt!$HL$7" lockText="1" noThreeD="1"/>
</file>

<file path=xl/ctrlProps/ctrlProp3.xml><?xml version="1.0" encoding="utf-8"?>
<formControlPr xmlns="http://schemas.microsoft.com/office/spreadsheetml/2009/9/main" objectType="CheckBox" fmlaLink="HideValues!$B$3" lockText="1" noThreeD="1"/>
</file>

<file path=xl/ctrlProps/ctrlProp4.xml><?xml version="1.0" encoding="utf-8"?>
<formControlPr xmlns="http://schemas.microsoft.com/office/spreadsheetml/2009/9/main" objectType="Drop" dropLines="63" dropStyle="combo" dx="16" fmlaLink="Gantt!$GL$7" fmlaRange="HideValues!B51:B53" sel="2" val="0"/>
</file>

<file path=xl/ctrlProps/ctrlProp5.xml><?xml version="1.0" encoding="utf-8"?>
<formControlPr xmlns="http://schemas.microsoft.com/office/spreadsheetml/2009/9/main" objectType="Drop" dropLines="63" dropStyle="combo" dx="16" fmlaLink="Gantt!$GU$7" fmlaRange="HideValues!$H$45:$H$52" sel="1" val="0"/>
</file>

<file path=xl/ctrlProps/ctrlProp6.xml><?xml version="1.0" encoding="utf-8"?>
<formControlPr xmlns="http://schemas.microsoft.com/office/spreadsheetml/2009/9/main" objectType="Drop" dropLines="63" dropStyle="combo" dx="16" fmlaLink="Gantt!$HA$7" fmlaRange="HideValues!$D$45:$E$58" sel="1" val="0"/>
</file>

<file path=xl/ctrlProps/ctrlProp7.xml><?xml version="1.0" encoding="utf-8"?>
<formControlPr xmlns="http://schemas.microsoft.com/office/spreadsheetml/2009/9/main" objectType="Drop" dropLines="67" dropStyle="combo" dx="16" fmlaLink="Gantt!$GD$7" fmlaRange="HideValues!B45:B46" sel="2" val="0"/>
</file>

<file path=xl/ctrlProps/ctrlProp8.xml><?xml version="1.0" encoding="utf-8"?>
<formControlPr xmlns="http://schemas.microsoft.com/office/spreadsheetml/2009/9/main" objectType="Drop" dropLines="63" dropStyle="combo" dx="16" fmlaLink="Gantt!$DT$7" fmlaRange="HideValues!D8:D24" sel="12" val="0"/>
</file>

<file path=xl/ctrlProps/ctrlProp9.xml><?xml version="1.0" encoding="utf-8"?>
<formControlPr xmlns="http://schemas.microsoft.com/office/spreadsheetml/2009/9/main" objectType="Drop" dropLines="63" dropStyle="combo" dx="16" fmlaLink="Gantt!$DO$7" fmlaRange="HideValues!B8:B19" sel="4" val="0"/>
</file>

<file path=xl/ctrlProps/ctrlProp10.xml><?xml version="1.0" encoding="utf-8"?>
<formControlPr xmlns="http://schemas.microsoft.com/office/spreadsheetml/2009/9/main" objectType="Drop" dropLines="63" dropStyle="combo" dx="16" fmlaLink="Gantt!$DJ$7" fmlaRange="HideValues!A8:A38" sel="21" val="0"/>
</file>

<file path=xl/ctrlProps/ctrlProp11.xml><?xml version="1.0" encoding="utf-8"?>
<formControlPr xmlns="http://schemas.microsoft.com/office/spreadsheetml/2009/9/main" objectType="Drop" dropLines="63" dropStyle="combo" dx="16" fmlaLink="Gantt!$BS$7" fmlaRange="HideValues!B8:B19" sel="3" val="0"/>
</file>

<file path=xl/ctrlProps/ctrlProp12.xml><?xml version="1.0" encoding="utf-8"?>
<formControlPr xmlns="http://schemas.microsoft.com/office/spreadsheetml/2009/9/main" objectType="Drop" dropLines="63" dropStyle="combo" dx="16" fmlaLink="Gantt!$BX$7" fmlaRange="HideValues!D8:D24" sel="12" val="0"/>
</file>

<file path=xl/ctrlProps/ctrlProp13.xml><?xml version="1.0" encoding="utf-8"?>
<formControlPr xmlns="http://schemas.microsoft.com/office/spreadsheetml/2009/9/main" objectType="Drop" dropLines="63" dropStyle="combo" dx="16" fmlaLink="Gantt!$BN$7" fmlaRange="HideValues!A8:A38" sel="1" val="0"/>
</file>

<file path=xl/ctrlProps/ctrlProp14.xml><?xml version="1.0" encoding="utf-8"?>
<formControlPr xmlns="http://schemas.microsoft.com/office/spreadsheetml/2009/9/main" objectType="Drop" dropLines="63" dropStyle="combo" dx="16" fmlaLink="$LX$7" fmlaRange="HideValues!$B$56:$B$61" sel="1" val="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file://localhost/Users/anas_aboukhalid/Desktop/header.png" TargetMode="External"/><Relationship Id="rId3" Type="http://schemas.openxmlformats.org/officeDocument/2006/relationships/image" Target="../media/image3.png"/><Relationship Id="rId21" Type="http://schemas.openxmlformats.org/officeDocument/2006/relationships/image" Target="../media/image20.png"/><Relationship Id="rId7" Type="http://schemas.openxmlformats.org/officeDocument/2006/relationships/image" Target="../media/image7.png"/><Relationship Id="rId12" Type="http://schemas.openxmlformats.org/officeDocument/2006/relationships/image" Target="../media/image11.png"/><Relationship Id="rId17" Type="http://schemas.openxmlformats.org/officeDocument/2006/relationships/image" Target="../media/image16.png"/><Relationship Id="rId25" Type="http://schemas.openxmlformats.org/officeDocument/2006/relationships/image" Target="../media/image22.pn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24" Type="http://schemas.openxmlformats.org/officeDocument/2006/relationships/image" Target="file://localhost/Users/anas_aboukhalid/Desktop/logo.png" TargetMode="External"/><Relationship Id="rId5" Type="http://schemas.openxmlformats.org/officeDocument/2006/relationships/image" Target="../media/image5.png"/><Relationship Id="rId15" Type="http://schemas.openxmlformats.org/officeDocument/2006/relationships/image" Target="../media/image14.png"/><Relationship Id="rId23" Type="http://schemas.openxmlformats.org/officeDocument/2006/relationships/image" Target="../media/image21.png"/><Relationship Id="rId28" Type="http://schemas.openxmlformats.org/officeDocument/2006/relationships/image" Target="../media/image24.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image" Target="../media/image4.png"/><Relationship Id="rId9" Type="http://schemas.openxmlformats.org/officeDocument/2006/relationships/hyperlink" Target="http://project-lead.eu/support-excel-gantt-chart-maker" TargetMode="External"/><Relationship Id="rId14" Type="http://schemas.openxmlformats.org/officeDocument/2006/relationships/image" Target="../media/image13.png"/><Relationship Id="rId22" Type="http://schemas.openxmlformats.org/officeDocument/2006/relationships/hyperlink" Target="http://project-lead.eu/diagramme-de-gantt/" TargetMode="External"/><Relationship Id="rId27" Type="http://schemas.openxmlformats.org/officeDocument/2006/relationships/image" Target="../media/image23.png"/></Relationships>
</file>

<file path=xl/drawings/_rels/drawing2.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drawing5.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18.png"/><Relationship Id="rId5" Type="http://schemas.openxmlformats.org/officeDocument/2006/relationships/image" Target="../media/image19.png"/><Relationship Id="rId4" Type="http://schemas.openxmlformats.org/officeDocument/2006/relationships/image" Target="../media/image29.png"/></Relationships>
</file>

<file path=xl/drawings/_rels/drawing6.xml.rels><?xml version="1.0" encoding="UTF-8" standalone="yes"?>
<Relationships xmlns="http://schemas.openxmlformats.org/package/2006/relationships"><Relationship Id="rId3" Type="http://schemas.openxmlformats.org/officeDocument/2006/relationships/image" Target="../media/image28.png"/><Relationship Id="rId7" Type="http://schemas.openxmlformats.org/officeDocument/2006/relationships/image" Target="../media/image19.png"/><Relationship Id="rId2" Type="http://schemas.openxmlformats.org/officeDocument/2006/relationships/image" Target="../media/image27.png"/><Relationship Id="rId1" Type="http://schemas.openxmlformats.org/officeDocument/2006/relationships/image" Target="../media/image18.png"/><Relationship Id="rId6" Type="http://schemas.openxmlformats.org/officeDocument/2006/relationships/image" Target="../media/image31.png"/><Relationship Id="rId5" Type="http://schemas.openxmlformats.org/officeDocument/2006/relationships/image" Target="../media/image30.png"/><Relationship Id="rId4" Type="http://schemas.openxmlformats.org/officeDocument/2006/relationships/image" Target="../media/image29.png"/></Relationships>
</file>

<file path=xl/drawings/_rels/drawing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28.png"/><Relationship Id="rId7" Type="http://schemas.microsoft.com/office/2007/relationships/hdphoto" Target="../media/hdphoto1.wdp"/><Relationship Id="rId2" Type="http://schemas.openxmlformats.org/officeDocument/2006/relationships/image" Target="../media/image27.png"/><Relationship Id="rId1" Type="http://schemas.openxmlformats.org/officeDocument/2006/relationships/image" Target="../media/image18.png"/><Relationship Id="rId6" Type="http://schemas.openxmlformats.org/officeDocument/2006/relationships/image" Target="../media/image32.png"/><Relationship Id="rId5" Type="http://schemas.openxmlformats.org/officeDocument/2006/relationships/image" Target="../media/image31.png"/><Relationship Id="rId4" Type="http://schemas.openxmlformats.org/officeDocument/2006/relationships/image" Target="../media/image30.png"/><Relationship Id="rId9"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75</xdr:col>
      <xdr:colOff>80963</xdr:colOff>
      <xdr:row>51</xdr:row>
      <xdr:rowOff>92075</xdr:rowOff>
    </xdr:from>
    <xdr:to>
      <xdr:col>79</xdr:col>
      <xdr:colOff>80963</xdr:colOff>
      <xdr:row>51</xdr:row>
      <xdr:rowOff>95250</xdr:rowOff>
    </xdr:to>
    <xdr:cxnSp macro="">
      <xdr:nvCxnSpPr>
        <xdr:cNvPr id="145372" name="Task_Bar52">
          <a:extLst>
            <a:ext uri="{FF2B5EF4-FFF2-40B4-BE49-F238E27FC236}">
              <a16:creationId xmlns:a16="http://schemas.microsoft.com/office/drawing/2014/main" id="{6AE010B7-CE16-4E6D-A5B9-6415147C9738}"/>
            </a:ext>
          </a:extLst>
        </xdr:cNvPr>
        <xdr:cNvCxnSpPr/>
      </xdr:nvCxnSpPr>
      <xdr:spPr>
        <a:xfrm flipV="1">
          <a:off x="14501813" y="6769100"/>
          <a:ext cx="647700" cy="3175"/>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80963</xdr:colOff>
      <xdr:row>39</xdr:row>
      <xdr:rowOff>88900</xdr:rowOff>
    </xdr:from>
    <xdr:to>
      <xdr:col>68</xdr:col>
      <xdr:colOff>80963</xdr:colOff>
      <xdr:row>39</xdr:row>
      <xdr:rowOff>95250</xdr:rowOff>
    </xdr:to>
    <xdr:cxnSp macro="">
      <xdr:nvCxnSpPr>
        <xdr:cNvPr id="145371" name="Task_Bar40">
          <a:extLst>
            <a:ext uri="{FF2B5EF4-FFF2-40B4-BE49-F238E27FC236}">
              <a16:creationId xmlns:a16="http://schemas.microsoft.com/office/drawing/2014/main" id="{8E4850B7-93B2-46C9-B012-F7FE703F16FA}"/>
            </a:ext>
          </a:extLst>
        </xdr:cNvPr>
        <xdr:cNvCxnSpPr/>
      </xdr:nvCxnSpPr>
      <xdr:spPr>
        <a:xfrm flipV="1">
          <a:off x="10291763" y="5003800"/>
          <a:ext cx="3076575" cy="635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80963</xdr:colOff>
      <xdr:row>34</xdr:row>
      <xdr:rowOff>88900</xdr:rowOff>
    </xdr:from>
    <xdr:to>
      <xdr:col>46</xdr:col>
      <xdr:colOff>80963</xdr:colOff>
      <xdr:row>34</xdr:row>
      <xdr:rowOff>95250</xdr:rowOff>
    </xdr:to>
    <xdr:cxnSp macro="">
      <xdr:nvCxnSpPr>
        <xdr:cNvPr id="145370" name="Task_Bar35">
          <a:extLst>
            <a:ext uri="{FF2B5EF4-FFF2-40B4-BE49-F238E27FC236}">
              <a16:creationId xmlns:a16="http://schemas.microsoft.com/office/drawing/2014/main" id="{81E81CE2-CE90-4126-AC5F-4D908E6BB861}"/>
            </a:ext>
          </a:extLst>
        </xdr:cNvPr>
        <xdr:cNvCxnSpPr/>
      </xdr:nvCxnSpPr>
      <xdr:spPr>
        <a:xfrm flipV="1">
          <a:off x="9158288" y="4241800"/>
          <a:ext cx="647700" cy="635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80963</xdr:colOff>
      <xdr:row>26</xdr:row>
      <xdr:rowOff>95250</xdr:rowOff>
    </xdr:from>
    <xdr:to>
      <xdr:col>67</xdr:col>
      <xdr:colOff>80963</xdr:colOff>
      <xdr:row>26</xdr:row>
      <xdr:rowOff>98425</xdr:rowOff>
    </xdr:to>
    <xdr:cxnSp macro="">
      <xdr:nvCxnSpPr>
        <xdr:cNvPr id="145369" name="Task_Bar27">
          <a:extLst>
            <a:ext uri="{FF2B5EF4-FFF2-40B4-BE49-F238E27FC236}">
              <a16:creationId xmlns:a16="http://schemas.microsoft.com/office/drawing/2014/main" id="{B295ED36-895D-437E-B245-7F84AE76083A}"/>
            </a:ext>
          </a:extLst>
        </xdr:cNvPr>
        <xdr:cNvCxnSpPr/>
      </xdr:nvCxnSpPr>
      <xdr:spPr>
        <a:xfrm>
          <a:off x="8510588" y="3057525"/>
          <a:ext cx="4695825" cy="3175"/>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80963</xdr:colOff>
      <xdr:row>22</xdr:row>
      <xdr:rowOff>95250</xdr:rowOff>
    </xdr:from>
    <xdr:to>
      <xdr:col>65</xdr:col>
      <xdr:colOff>80963</xdr:colOff>
      <xdr:row>22</xdr:row>
      <xdr:rowOff>95250</xdr:rowOff>
    </xdr:to>
    <xdr:cxnSp macro="">
      <xdr:nvCxnSpPr>
        <xdr:cNvPr id="145368" name="Task_Bar23">
          <a:extLst>
            <a:ext uri="{FF2B5EF4-FFF2-40B4-BE49-F238E27FC236}">
              <a16:creationId xmlns:a16="http://schemas.microsoft.com/office/drawing/2014/main" id="{B522030E-5ECB-4C22-956F-DD0E21FC4E70}"/>
            </a:ext>
          </a:extLst>
        </xdr:cNvPr>
        <xdr:cNvCxnSpPr/>
      </xdr:nvCxnSpPr>
      <xdr:spPr>
        <a:xfrm>
          <a:off x="8024813" y="2438400"/>
          <a:ext cx="4857750" cy="0"/>
        </a:xfrm>
        <a:prstGeom prst="straightConnector1">
          <a:avLst/>
        </a:prstGeom>
        <a:ln w="41275">
          <a:solidFill>
            <a:srgbClr val="505050"/>
          </a:solidFill>
          <a:headEnd type="none"/>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19049</xdr:colOff>
      <xdr:row>68</xdr:row>
      <xdr:rowOff>12397</xdr:rowOff>
    </xdr:from>
    <xdr:to>
      <xdr:col>8</xdr:col>
      <xdr:colOff>352424</xdr:colOff>
      <xdr:row>77</xdr:row>
      <xdr:rowOff>272</xdr:rowOff>
    </xdr:to>
    <xdr:sp macro="" textlink="" fLocksText="0">
      <xdr:nvSpPr>
        <xdr:cNvPr id="11" name="forme72">
          <a:extLst>
            <a:ext uri="{FF2B5EF4-FFF2-40B4-BE49-F238E27FC236}">
              <a16:creationId xmlns:a16="http://schemas.microsoft.com/office/drawing/2014/main" id="{00000000-0008-0000-0000-00000B000000}"/>
            </a:ext>
          </a:extLst>
        </xdr:cNvPr>
        <xdr:cNvSpPr/>
      </xdr:nvSpPr>
      <xdr:spPr>
        <a:xfrm>
          <a:off x="142874" y="9474956"/>
          <a:ext cx="2266950" cy="14452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104775</xdr:colOff>
          <xdr:row>69</xdr:row>
          <xdr:rowOff>88900</xdr:rowOff>
        </xdr:from>
        <xdr:to>
          <xdr:col>3</xdr:col>
          <xdr:colOff>180975</xdr:colOff>
          <xdr:row>70</xdr:row>
          <xdr:rowOff>155575</xdr:rowOff>
        </xdr:to>
        <xdr:sp macro="" textlink="">
          <xdr:nvSpPr>
            <xdr:cNvPr id="144385" name="Check Box 1" hidden="1">
              <a:extLst>
                <a:ext uri="{63B3BB69-23CF-44E3-9099-C40C66FF867C}">
                  <a14:compatExt spid="_x0000_s144385"/>
                </a:ext>
                <a:ext uri="{FF2B5EF4-FFF2-40B4-BE49-F238E27FC236}">
                  <a16:creationId xmlns:a16="http://schemas.microsoft.com/office/drawing/2014/main" id="{00000000-0008-0000-0000-000001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71</xdr:row>
          <xdr:rowOff>25400</xdr:rowOff>
        </xdr:from>
        <xdr:to>
          <xdr:col>3</xdr:col>
          <xdr:colOff>180975</xdr:colOff>
          <xdr:row>72</xdr:row>
          <xdr:rowOff>117475</xdr:rowOff>
        </xdr:to>
        <xdr:sp macro="" textlink="">
          <xdr:nvSpPr>
            <xdr:cNvPr id="144386" name="Check Box 2" hidden="1">
              <a:extLst>
                <a:ext uri="{63B3BB69-23CF-44E3-9099-C40C66FF867C}">
                  <a14:compatExt spid="_x0000_s144386"/>
                </a:ext>
                <a:ext uri="{FF2B5EF4-FFF2-40B4-BE49-F238E27FC236}">
                  <a16:creationId xmlns:a16="http://schemas.microsoft.com/office/drawing/2014/main" id="{00000000-0008-0000-0000-000002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72</xdr:row>
          <xdr:rowOff>88900</xdr:rowOff>
        </xdr:from>
        <xdr:to>
          <xdr:col>3</xdr:col>
          <xdr:colOff>180975</xdr:colOff>
          <xdr:row>74</xdr:row>
          <xdr:rowOff>25400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000-000003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xdr:twoCellAnchor editAs="absolute">
    <xdr:from>
      <xdr:col>1</xdr:col>
      <xdr:colOff>9524</xdr:colOff>
      <xdr:row>17</xdr:row>
      <xdr:rowOff>10391</xdr:rowOff>
    </xdr:from>
    <xdr:to>
      <xdr:col>8</xdr:col>
      <xdr:colOff>342899</xdr:colOff>
      <xdr:row>28</xdr:row>
      <xdr:rowOff>86290</xdr:rowOff>
    </xdr:to>
    <xdr:sp macro="" textlink="">
      <xdr:nvSpPr>
        <xdr:cNvPr id="15" name="frome44">
          <a:extLst>
            <a:ext uri="{FF2B5EF4-FFF2-40B4-BE49-F238E27FC236}">
              <a16:creationId xmlns:a16="http://schemas.microsoft.com/office/drawing/2014/main" id="{00000000-0008-0000-0000-00000F000000}"/>
            </a:ext>
          </a:extLst>
        </xdr:cNvPr>
        <xdr:cNvSpPr/>
      </xdr:nvSpPr>
      <xdr:spPr>
        <a:xfrm>
          <a:off x="133349" y="2181225"/>
          <a:ext cx="2266950" cy="1189458"/>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29</xdr:row>
      <xdr:rowOff>80929</xdr:rowOff>
    </xdr:from>
    <xdr:to>
      <xdr:col>8</xdr:col>
      <xdr:colOff>352424</xdr:colOff>
      <xdr:row>35</xdr:row>
      <xdr:rowOff>45554</xdr:rowOff>
    </xdr:to>
    <xdr:sp macro="" textlink="">
      <xdr:nvSpPr>
        <xdr:cNvPr id="16" name="forme3">
          <a:extLst>
            <a:ext uri="{FF2B5EF4-FFF2-40B4-BE49-F238E27FC236}">
              <a16:creationId xmlns:a16="http://schemas.microsoft.com/office/drawing/2014/main" id="{00000000-0008-0000-0000-000010000000}"/>
            </a:ext>
          </a:extLst>
        </xdr:cNvPr>
        <xdr:cNvSpPr/>
      </xdr:nvSpPr>
      <xdr:spPr>
        <a:xfrm>
          <a:off x="142874" y="3502135"/>
          <a:ext cx="2266950" cy="87046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36</xdr:row>
      <xdr:rowOff>59420</xdr:rowOff>
    </xdr:from>
    <xdr:to>
      <xdr:col>8</xdr:col>
      <xdr:colOff>352424</xdr:colOff>
      <xdr:row>51</xdr:row>
      <xdr:rowOff>17201</xdr:rowOff>
    </xdr:to>
    <xdr:sp macro="" textlink="">
      <xdr:nvSpPr>
        <xdr:cNvPr id="17" name="forme48">
          <a:extLst>
            <a:ext uri="{FF2B5EF4-FFF2-40B4-BE49-F238E27FC236}">
              <a16:creationId xmlns:a16="http://schemas.microsoft.com/office/drawing/2014/main" id="{00000000-0008-0000-0000-000011000000}"/>
            </a:ext>
          </a:extLst>
        </xdr:cNvPr>
        <xdr:cNvSpPr/>
      </xdr:nvSpPr>
      <xdr:spPr>
        <a:xfrm>
          <a:off x="142874" y="4543289"/>
          <a:ext cx="2266950" cy="2178357"/>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60</xdr:row>
      <xdr:rowOff>142737</xdr:rowOff>
    </xdr:from>
    <xdr:to>
      <xdr:col>8</xdr:col>
      <xdr:colOff>352424</xdr:colOff>
      <xdr:row>66</xdr:row>
      <xdr:rowOff>141364</xdr:rowOff>
    </xdr:to>
    <xdr:sp macro="" textlink="">
      <xdr:nvSpPr>
        <xdr:cNvPr id="18" name="forme54">
          <a:extLst>
            <a:ext uri="{FF2B5EF4-FFF2-40B4-BE49-F238E27FC236}">
              <a16:creationId xmlns:a16="http://schemas.microsoft.com/office/drawing/2014/main" id="{00000000-0008-0000-0000-000012000000}"/>
            </a:ext>
          </a:extLst>
        </xdr:cNvPr>
        <xdr:cNvSpPr/>
      </xdr:nvSpPr>
      <xdr:spPr>
        <a:xfrm>
          <a:off x="142874" y="8313071"/>
          <a:ext cx="2266950" cy="970177"/>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152400</xdr:colOff>
          <xdr:row>64</xdr:row>
          <xdr:rowOff>50800</xdr:rowOff>
        </xdr:from>
        <xdr:to>
          <xdr:col>5</xdr:col>
          <xdr:colOff>104775</xdr:colOff>
          <xdr:row>65</xdr:row>
          <xdr:rowOff>127000</xdr:rowOff>
        </xdr:to>
        <xdr:sp macro="" textlink="">
          <xdr:nvSpPr>
            <xdr:cNvPr id="144388" name="ComboBox4" hidden="1">
              <a:extLst>
                <a:ext uri="{63B3BB69-23CF-44E3-9099-C40C66FF867C}">
                  <a14:compatExt spid="_x0000_s144388"/>
                </a:ext>
                <a:ext uri="{FF2B5EF4-FFF2-40B4-BE49-F238E27FC236}">
                  <a16:creationId xmlns:a16="http://schemas.microsoft.com/office/drawing/2014/main" id="{00000000-0008-0000-0000-000004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48</xdr:row>
          <xdr:rowOff>0</xdr:rowOff>
        </xdr:from>
        <xdr:to>
          <xdr:col>8</xdr:col>
          <xdr:colOff>152400</xdr:colOff>
          <xdr:row>49</xdr:row>
          <xdr:rowOff>106892</xdr:rowOff>
        </xdr:to>
        <xdr:sp macro="" textlink="">
          <xdr:nvSpPr>
            <xdr:cNvPr id="144389" name="ComboBox51" hidden="1">
              <a:extLst>
                <a:ext uri="{63B3BB69-23CF-44E3-9099-C40C66FF867C}">
                  <a14:compatExt spid="_x0000_s144389"/>
                </a:ext>
                <a:ext uri="{FF2B5EF4-FFF2-40B4-BE49-F238E27FC236}">
                  <a16:creationId xmlns:a16="http://schemas.microsoft.com/office/drawing/2014/main" id="{00000000-0008-0000-0000-000005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44</xdr:row>
          <xdr:rowOff>64558</xdr:rowOff>
        </xdr:from>
        <xdr:to>
          <xdr:col>8</xdr:col>
          <xdr:colOff>152400</xdr:colOff>
          <xdr:row>46</xdr:row>
          <xdr:rowOff>0</xdr:rowOff>
        </xdr:to>
        <xdr:sp macro="" textlink="">
          <xdr:nvSpPr>
            <xdr:cNvPr id="144390" name="ComboBox50" hidden="1">
              <a:extLst>
                <a:ext uri="{63B3BB69-23CF-44E3-9099-C40C66FF867C}">
                  <a14:compatExt spid="_x0000_s144390"/>
                </a:ext>
                <a:ext uri="{FF2B5EF4-FFF2-40B4-BE49-F238E27FC236}">
                  <a16:creationId xmlns:a16="http://schemas.microsoft.com/office/drawing/2014/main" id="{00000000-0008-0000-0000-000006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40</xdr:row>
          <xdr:rowOff>41275</xdr:rowOff>
        </xdr:from>
        <xdr:to>
          <xdr:col>8</xdr:col>
          <xdr:colOff>180975</xdr:colOff>
          <xdr:row>41</xdr:row>
          <xdr:rowOff>146050</xdr:rowOff>
        </xdr:to>
        <xdr:sp macro="" textlink="">
          <xdr:nvSpPr>
            <xdr:cNvPr id="144391" name="ComboBox5" hidden="1">
              <a:extLst>
                <a:ext uri="{63B3BB69-23CF-44E3-9099-C40C66FF867C}">
                  <a14:compatExt spid="_x0000_s144391"/>
                </a:ext>
                <a:ext uri="{FF2B5EF4-FFF2-40B4-BE49-F238E27FC236}">
                  <a16:creationId xmlns:a16="http://schemas.microsoft.com/office/drawing/2014/main" id="{00000000-0008-0000-0000-000007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266700</xdr:colOff>
          <xdr:row>33</xdr:row>
          <xdr:rowOff>70908</xdr:rowOff>
        </xdr:from>
        <xdr:to>
          <xdr:col>8</xdr:col>
          <xdr:colOff>314325</xdr:colOff>
          <xdr:row>34</xdr:row>
          <xdr:rowOff>160867</xdr:rowOff>
        </xdr:to>
        <xdr:sp macro="" textlink="">
          <xdr:nvSpPr>
            <xdr:cNvPr id="144392" name="StartYear" hidden="1">
              <a:extLst>
                <a:ext uri="{63B3BB69-23CF-44E3-9099-C40C66FF867C}">
                  <a14:compatExt spid="_x0000_s144392"/>
                </a:ext>
                <a:ext uri="{FF2B5EF4-FFF2-40B4-BE49-F238E27FC236}">
                  <a16:creationId xmlns:a16="http://schemas.microsoft.com/office/drawing/2014/main" id="{00000000-0008-0000-0000-000008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33</xdr:row>
          <xdr:rowOff>70908</xdr:rowOff>
        </xdr:from>
        <xdr:to>
          <xdr:col>6</xdr:col>
          <xdr:colOff>180975</xdr:colOff>
          <xdr:row>34</xdr:row>
          <xdr:rowOff>160867</xdr:rowOff>
        </xdr:to>
        <xdr:sp macro="" textlink="">
          <xdr:nvSpPr>
            <xdr:cNvPr id="144393" name="StartMonth" hidden="1">
              <a:extLst>
                <a:ext uri="{63B3BB69-23CF-44E3-9099-C40C66FF867C}">
                  <a14:compatExt spid="_x0000_s144393"/>
                </a:ext>
                <a:ext uri="{FF2B5EF4-FFF2-40B4-BE49-F238E27FC236}">
                  <a16:creationId xmlns:a16="http://schemas.microsoft.com/office/drawing/2014/main" id="{00000000-0008-0000-0000-000009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85725</xdr:colOff>
          <xdr:row>33</xdr:row>
          <xdr:rowOff>70908</xdr:rowOff>
        </xdr:from>
        <xdr:to>
          <xdr:col>3</xdr:col>
          <xdr:colOff>0</xdr:colOff>
          <xdr:row>34</xdr:row>
          <xdr:rowOff>160867</xdr:rowOff>
        </xdr:to>
        <xdr:sp macro="" textlink="">
          <xdr:nvSpPr>
            <xdr:cNvPr id="144394" name="StartDay" hidden="1">
              <a:extLst>
                <a:ext uri="{63B3BB69-23CF-44E3-9099-C40C66FF867C}">
                  <a14:compatExt spid="_x0000_s144394"/>
                </a:ext>
                <a:ext uri="{FF2B5EF4-FFF2-40B4-BE49-F238E27FC236}">
                  <a16:creationId xmlns:a16="http://schemas.microsoft.com/office/drawing/2014/main" id="{00000000-0008-0000-0000-00000A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24</xdr:row>
          <xdr:rowOff>104775</xdr:rowOff>
        </xdr:from>
        <xdr:to>
          <xdr:col>6</xdr:col>
          <xdr:colOff>152400</xdr:colOff>
          <xdr:row>26</xdr:row>
          <xdr:rowOff>80433</xdr:rowOff>
        </xdr:to>
        <xdr:sp macro="" textlink="">
          <xdr:nvSpPr>
            <xdr:cNvPr id="144395" name="ComboBox2" hidden="1">
              <a:extLst>
                <a:ext uri="{63B3BB69-23CF-44E3-9099-C40C66FF867C}">
                  <a14:compatExt spid="_x0000_s144395"/>
                </a:ext>
                <a:ext uri="{FF2B5EF4-FFF2-40B4-BE49-F238E27FC236}">
                  <a16:creationId xmlns:a16="http://schemas.microsoft.com/office/drawing/2014/main" id="{00000000-0008-0000-0000-00000B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24</xdr:row>
          <xdr:rowOff>104775</xdr:rowOff>
        </xdr:from>
        <xdr:to>
          <xdr:col>8</xdr:col>
          <xdr:colOff>304800</xdr:colOff>
          <xdr:row>26</xdr:row>
          <xdr:rowOff>80433</xdr:rowOff>
        </xdr:to>
        <xdr:sp macro="" textlink="">
          <xdr:nvSpPr>
            <xdr:cNvPr id="144396" name="ComboBox3" hidden="1">
              <a:extLst>
                <a:ext uri="{63B3BB69-23CF-44E3-9099-C40C66FF867C}">
                  <a14:compatExt spid="_x0000_s144396"/>
                </a:ext>
                <a:ext uri="{FF2B5EF4-FFF2-40B4-BE49-F238E27FC236}">
                  <a16:creationId xmlns:a16="http://schemas.microsoft.com/office/drawing/2014/main" id="{00000000-0008-0000-0000-00000C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66675</xdr:colOff>
          <xdr:row>24</xdr:row>
          <xdr:rowOff>104775</xdr:rowOff>
        </xdr:from>
        <xdr:to>
          <xdr:col>3</xdr:col>
          <xdr:colOff>0</xdr:colOff>
          <xdr:row>26</xdr:row>
          <xdr:rowOff>80433</xdr:rowOff>
        </xdr:to>
        <xdr:sp macro="" textlink="">
          <xdr:nvSpPr>
            <xdr:cNvPr id="144397" name="ComboBox1" hidden="1">
              <a:extLst>
                <a:ext uri="{63B3BB69-23CF-44E3-9099-C40C66FF867C}">
                  <a14:compatExt spid="_x0000_s144397"/>
                </a:ext>
                <a:ext uri="{FF2B5EF4-FFF2-40B4-BE49-F238E27FC236}">
                  <a16:creationId xmlns:a16="http://schemas.microsoft.com/office/drawing/2014/main" id="{00000000-0008-0000-0000-00000D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absoluteAnchor>
    <xdr:pos x="152822" y="3539068"/>
    <xdr:ext cx="365760" cy="362830"/>
    <xdr:pic>
      <xdr:nvPicPr>
        <xdr:cNvPr id="29" name="mac-bookmark" hidden="1">
          <a:extLst>
            <a:ext uri="{FF2B5EF4-FFF2-40B4-BE49-F238E27FC236}">
              <a16:creationId xmlns:a16="http://schemas.microsoft.com/office/drawing/2014/main" id="{00000000-0008-0000-0000-00001D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822" y="3539068"/>
          <a:ext cx="365760" cy="362830"/>
        </a:xfrm>
        <a:prstGeom prst="rect">
          <a:avLst/>
        </a:prstGeom>
      </xdr:spPr>
    </xdr:pic>
    <xdr:clientData fPrintsWithSheet="0"/>
  </xdr:absoluteAnchor>
  <xdr:twoCellAnchor editAs="absolute">
    <xdr:from>
      <xdr:col>1</xdr:col>
      <xdr:colOff>36406</xdr:colOff>
      <xdr:row>36</xdr:row>
      <xdr:rowOff>102543</xdr:rowOff>
    </xdr:from>
    <xdr:to>
      <xdr:col>2</xdr:col>
      <xdr:colOff>84666</xdr:colOff>
      <xdr:row>39</xdr:row>
      <xdr:rowOff>43662</xdr:rowOff>
    </xdr:to>
    <xdr:pic>
      <xdr:nvPicPr>
        <xdr:cNvPr id="30" name="mac-workingdays" descr="outlook_calendar_work_week.png" hidden="1">
          <a:extLst>
            <a:ext uri="{FF2B5EF4-FFF2-40B4-BE49-F238E27FC236}">
              <a16:creationId xmlns:a16="http://schemas.microsoft.com/office/drawing/2014/main" id="{00000000-0008-0000-0000-00001E000000}"/>
            </a:ext>
          </a:extLst>
        </xdr:cNvPr>
        <xdr:cNvPicPr>
          <a:picLocks/>
        </xdr:cNvPicPr>
      </xdr:nvPicPr>
      <xdr:blipFill>
        <a:blip xmlns:r="http://schemas.openxmlformats.org/officeDocument/2006/relationships" r:embed="rId2"/>
        <a:stretch>
          <a:fillRect/>
        </a:stretch>
      </xdr:blipFill>
      <xdr:spPr>
        <a:xfrm>
          <a:off x="160231" y="4586412"/>
          <a:ext cx="324485" cy="380329"/>
        </a:xfrm>
        <a:prstGeom prst="rect">
          <a:avLst/>
        </a:prstGeom>
      </xdr:spPr>
    </xdr:pic>
    <xdr:clientData fPrintsWithSheet="0"/>
  </xdr:twoCellAnchor>
  <xdr:twoCellAnchor editAs="absolute">
    <xdr:from>
      <xdr:col>10</xdr:col>
      <xdr:colOff>104780</xdr:colOff>
      <xdr:row>5</xdr:row>
      <xdr:rowOff>74613</xdr:rowOff>
    </xdr:from>
    <xdr:to>
      <xdr:col>12</xdr:col>
      <xdr:colOff>206729</xdr:colOff>
      <xdr:row>13</xdr:row>
      <xdr:rowOff>0</xdr:rowOff>
    </xdr:to>
    <xdr:pic>
      <xdr:nvPicPr>
        <xdr:cNvPr id="31" name="mac-title" descr="project" hidden="1">
          <a:extLst>
            <a:ext uri="{FF2B5EF4-FFF2-40B4-BE49-F238E27FC236}">
              <a16:creationId xmlns:a16="http://schemas.microsoft.com/office/drawing/2014/main" id="{00000000-0008-0000-0000-00001F000000}"/>
            </a:ext>
          </a:extLst>
        </xdr:cNvPr>
        <xdr:cNvPicPr preferRelativeResize="0">
          <a:picLocks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743205" y="884238"/>
          <a:ext cx="721074" cy="773112"/>
        </a:xfrm>
        <a:prstGeom prst="rect">
          <a:avLst/>
        </a:prstGeom>
        <a:noFill/>
        <a:extLst>
          <a:ext uri="{909E8E84-426E-40dd-AFC4-6F175D3DCCD1}">
            <a14:hiddenFill xmlns:a14="http://schemas.microsoft.com/office/drawing/2010/main" xmlns="">
              <a:solidFill>
                <a:srgbClr val="FFFFFF"/>
              </a:solidFill>
            </a14:hiddenFill>
          </a:ext>
        </a:extLst>
      </xdr:spPr>
    </xdr:pic>
    <xdr:clientData fLocksWithSheet="0"/>
  </xdr:twoCellAnchor>
  <xdr:twoCellAnchor editAs="absolute">
    <xdr:from>
      <xdr:col>19</xdr:col>
      <xdr:colOff>399925</xdr:colOff>
      <xdr:row>12</xdr:row>
      <xdr:rowOff>94076</xdr:rowOff>
    </xdr:from>
    <xdr:to>
      <xdr:col>37</xdr:col>
      <xdr:colOff>88465</xdr:colOff>
      <xdr:row>15</xdr:row>
      <xdr:rowOff>145429</xdr:rowOff>
    </xdr:to>
    <xdr:sp macro="[0]!cancel_full_screen" textlink="">
      <xdr:nvSpPr>
        <xdr:cNvPr id="32" name="cancel_full_scr3" hidden="1">
          <a:extLst>
            <a:ext uri="{FF2B5EF4-FFF2-40B4-BE49-F238E27FC236}">
              <a16:creationId xmlns:a16="http://schemas.microsoft.com/office/drawing/2014/main" id="{00000000-0008-0000-0000-000020000000}"/>
            </a:ext>
          </a:extLst>
        </xdr:cNvPr>
        <xdr:cNvSpPr/>
      </xdr:nvSpPr>
      <xdr:spPr>
        <a:xfrm>
          <a:off x="6369984" y="1591233"/>
          <a:ext cx="1975597" cy="207217"/>
        </a:xfrm>
        <a:prstGeom prst="roundRect">
          <a:avLst/>
        </a:prstGeom>
        <a:solidFill>
          <a:srgbClr val="0070C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marL="0" indent="0" algn="l"/>
          <a:endParaRPr kumimoji="1" lang="ja-JP" altLang="en-US" sz="1100">
            <a:solidFill>
              <a:schemeClr val="lt1"/>
            </a:solidFill>
            <a:latin typeface="+mn-lt"/>
            <a:ea typeface="+mn-ea"/>
            <a:cs typeface="+mn-cs"/>
          </a:endParaRPr>
        </a:p>
      </xdr:txBody>
    </xdr:sp>
    <xdr:clientData fPrintsWithSheet="0"/>
  </xdr:twoCellAnchor>
  <xdr:twoCellAnchor editAs="absolute">
    <xdr:from>
      <xdr:col>1</xdr:col>
      <xdr:colOff>47625</xdr:colOff>
      <xdr:row>68</xdr:row>
      <xdr:rowOff>23556</xdr:rowOff>
    </xdr:from>
    <xdr:to>
      <xdr:col>2</xdr:col>
      <xdr:colOff>76200</xdr:colOff>
      <xdr:row>70</xdr:row>
      <xdr:rowOff>6623</xdr:rowOff>
    </xdr:to>
    <xdr:pic>
      <xdr:nvPicPr>
        <xdr:cNvPr id="33" name="PC-optional" descr="add, table icon">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71450" y="9489290"/>
          <a:ext cx="304800" cy="303742"/>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12</xdr:col>
      <xdr:colOff>205133</xdr:colOff>
      <xdr:row>5</xdr:row>
      <xdr:rowOff>22861</xdr:rowOff>
    </xdr:from>
    <xdr:to>
      <xdr:col>27</xdr:col>
      <xdr:colOff>169333</xdr:colOff>
      <xdr:row>11</xdr:row>
      <xdr:rowOff>8501</xdr:rowOff>
    </xdr:to>
    <xdr:sp macro="" textlink="" fLocksText="0">
      <xdr:nvSpPr>
        <xdr:cNvPr id="34" name="Gantt_Title1">
          <a:extLst>
            <a:ext uri="{FF2B5EF4-FFF2-40B4-BE49-F238E27FC236}">
              <a16:creationId xmlns:a16="http://schemas.microsoft.com/office/drawing/2014/main" id="{00000000-0008-0000-0000-000022000000}"/>
            </a:ext>
          </a:extLst>
        </xdr:cNvPr>
        <xdr:cNvSpPr txBox="1"/>
      </xdr:nvSpPr>
      <xdr:spPr>
        <a:xfrm>
          <a:off x="3462683" y="832486"/>
          <a:ext cx="3915270" cy="5173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b">
          <a:noAutofit/>
        </a:bodyPr>
        <a:lstStyle/>
        <a:p>
          <a:r>
            <a:rPr kumimoji="1" lang="en-US" altLang="ja-JP" sz="2800" b="0" cap="none" spc="0">
              <a:ln>
                <a:noFill/>
              </a:ln>
              <a:solidFill>
                <a:schemeClr val="tx1"/>
              </a:solidFill>
              <a:effectLst/>
              <a:latin typeface="Franklin Gothic Demi Cond" panose="020B0706030402020204" pitchFamily="34" charset="0"/>
              <a:ea typeface="Arial Unicode MS" panose="020B0604020202020204" pitchFamily="50" charset="-128"/>
              <a:cs typeface="Arial" panose="020B0604020202020204" pitchFamily="34" charset="0"/>
            </a:rPr>
            <a:t>GestyFood</a:t>
          </a:r>
          <a:endParaRPr kumimoji="1" lang="ja-JP" altLang="en-US" sz="2800" b="0" cap="none" spc="0">
            <a:ln>
              <a:noFill/>
            </a:ln>
            <a:solidFill>
              <a:schemeClr val="tx1"/>
            </a:solidFill>
            <a:effectLst/>
            <a:latin typeface="Franklin Gothic Demi Cond" panose="020B0706030402020204" pitchFamily="34" charset="0"/>
            <a:ea typeface="Arial Unicode MS" panose="020B0604020202020204" pitchFamily="50" charset="-128"/>
            <a:cs typeface="Arial" panose="020B0604020202020204" pitchFamily="34" charset="0"/>
          </a:endParaRPr>
        </a:p>
      </xdr:txBody>
    </xdr:sp>
    <xdr:clientData fLocksWithSheet="0"/>
  </xdr:twoCellAnchor>
  <xdr:twoCellAnchor editAs="absolute">
    <xdr:from>
      <xdr:col>2</xdr:col>
      <xdr:colOff>47625</xdr:colOff>
      <xdr:row>29</xdr:row>
      <xdr:rowOff>112244</xdr:rowOff>
    </xdr:from>
    <xdr:to>
      <xdr:col>8</xdr:col>
      <xdr:colOff>314325</xdr:colOff>
      <xdr:row>31</xdr:row>
      <xdr:rowOff>59652</xdr:rowOff>
    </xdr:to>
    <xdr:sp macro="" textlink="">
      <xdr:nvSpPr>
        <xdr:cNvPr id="35" name="left_panel_5">
          <a:extLst>
            <a:ext uri="{FF2B5EF4-FFF2-40B4-BE49-F238E27FC236}">
              <a16:creationId xmlns:a16="http://schemas.microsoft.com/office/drawing/2014/main" id="{00000000-0008-0000-0000-000023000000}"/>
            </a:ext>
          </a:extLst>
        </xdr:cNvPr>
        <xdr:cNvSpPr txBox="1"/>
      </xdr:nvSpPr>
      <xdr:spPr>
        <a:xfrm>
          <a:off x="447675" y="3533450"/>
          <a:ext cx="1924050" cy="2384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Ligne rouge</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75564</xdr:colOff>
      <xdr:row>31</xdr:row>
      <xdr:rowOff>16592</xdr:rowOff>
    </xdr:from>
    <xdr:to>
      <xdr:col>8</xdr:col>
      <xdr:colOff>314325</xdr:colOff>
      <xdr:row>33</xdr:row>
      <xdr:rowOff>59651</xdr:rowOff>
    </xdr:to>
    <xdr:sp macro="" textlink="">
      <xdr:nvSpPr>
        <xdr:cNvPr id="36" name="left_panel_6">
          <a:extLst>
            <a:ext uri="{FF2B5EF4-FFF2-40B4-BE49-F238E27FC236}">
              <a16:creationId xmlns:a16="http://schemas.microsoft.com/office/drawing/2014/main" id="{00000000-0008-0000-0000-000024000000}"/>
            </a:ext>
          </a:extLst>
        </xdr:cNvPr>
        <xdr:cNvSpPr txBox="1"/>
      </xdr:nvSpPr>
      <xdr:spPr>
        <a:xfrm>
          <a:off x="475614" y="3734131"/>
          <a:ext cx="1896111" cy="32351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Veuillez choisir la date de la ligne rouge</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38100</xdr:colOff>
      <xdr:row>17</xdr:row>
      <xdr:rowOff>10391</xdr:rowOff>
    </xdr:from>
    <xdr:to>
      <xdr:col>8</xdr:col>
      <xdr:colOff>352425</xdr:colOff>
      <xdr:row>22</xdr:row>
      <xdr:rowOff>116540</xdr:rowOff>
    </xdr:to>
    <xdr:sp macro="" textlink="">
      <xdr:nvSpPr>
        <xdr:cNvPr id="37" name="left_panel_1">
          <a:extLst>
            <a:ext uri="{FF2B5EF4-FFF2-40B4-BE49-F238E27FC236}">
              <a16:creationId xmlns:a16="http://schemas.microsoft.com/office/drawing/2014/main" id="{00000000-0008-0000-0000-000025000000}"/>
            </a:ext>
          </a:extLst>
        </xdr:cNvPr>
        <xdr:cNvSpPr txBox="1"/>
      </xdr:nvSpPr>
      <xdr:spPr>
        <a:xfrm>
          <a:off x="438150" y="2181225"/>
          <a:ext cx="1971675" cy="27759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Date de départ</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38100</xdr:colOff>
      <xdr:row>22</xdr:row>
      <xdr:rowOff>81447</xdr:rowOff>
    </xdr:from>
    <xdr:to>
      <xdr:col>8</xdr:col>
      <xdr:colOff>276225</xdr:colOff>
      <xdr:row>24</xdr:row>
      <xdr:rowOff>58526</xdr:rowOff>
    </xdr:to>
    <xdr:sp macro="" textlink="">
      <xdr:nvSpPr>
        <xdr:cNvPr id="38" name="left_panel_2">
          <a:extLst>
            <a:ext uri="{FF2B5EF4-FFF2-40B4-BE49-F238E27FC236}">
              <a16:creationId xmlns:a16="http://schemas.microsoft.com/office/drawing/2014/main" id="{00000000-0008-0000-0000-000026000000}"/>
            </a:ext>
          </a:extLst>
        </xdr:cNvPr>
        <xdr:cNvSpPr txBox="1"/>
      </xdr:nvSpPr>
      <xdr:spPr>
        <a:xfrm>
          <a:off x="438150" y="2417670"/>
          <a:ext cx="1895475" cy="31824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Veuillez choisir la date à laquelle le diagramme doit démarrer</a:t>
          </a:r>
          <a:endPar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36</xdr:row>
      <xdr:rowOff>90795</xdr:rowOff>
    </xdr:from>
    <xdr:to>
      <xdr:col>8</xdr:col>
      <xdr:colOff>177800</xdr:colOff>
      <xdr:row>38</xdr:row>
      <xdr:rowOff>57208</xdr:rowOff>
    </xdr:to>
    <xdr:sp macro="" textlink="">
      <xdr:nvSpPr>
        <xdr:cNvPr id="39" name="left_panel_7">
          <a:extLst>
            <a:ext uri="{FF2B5EF4-FFF2-40B4-BE49-F238E27FC236}">
              <a16:creationId xmlns:a16="http://schemas.microsoft.com/office/drawing/2014/main" id="{00000000-0008-0000-0000-000027000000}"/>
            </a:ext>
          </a:extLst>
        </xdr:cNvPr>
        <xdr:cNvSpPr txBox="1"/>
      </xdr:nvSpPr>
      <xdr:spPr>
        <a:xfrm>
          <a:off x="447675" y="4574664"/>
          <a:ext cx="1787525" cy="25312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Jours ouvrés</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38</xdr:row>
      <xdr:rowOff>27980</xdr:rowOff>
    </xdr:from>
    <xdr:to>
      <xdr:col>8</xdr:col>
      <xdr:colOff>285751</xdr:colOff>
      <xdr:row>40</xdr:row>
      <xdr:rowOff>93470</xdr:rowOff>
    </xdr:to>
    <xdr:sp macro="" textlink="">
      <xdr:nvSpPr>
        <xdr:cNvPr id="40" name="left_panel_8">
          <a:extLst>
            <a:ext uri="{FF2B5EF4-FFF2-40B4-BE49-F238E27FC236}">
              <a16:creationId xmlns:a16="http://schemas.microsoft.com/office/drawing/2014/main" id="{00000000-0008-0000-0000-000028000000}"/>
            </a:ext>
          </a:extLst>
        </xdr:cNvPr>
        <xdr:cNvSpPr txBox="1"/>
      </xdr:nvSpPr>
      <xdr:spPr>
        <a:xfrm>
          <a:off x="447675" y="4798562"/>
          <a:ext cx="1895476" cy="39790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Veuillez choisir les jours ouvrés qui s'appliquent à votre projet</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60</xdr:row>
      <xdr:rowOff>158613</xdr:rowOff>
    </xdr:from>
    <xdr:to>
      <xdr:col>8</xdr:col>
      <xdr:colOff>139700</xdr:colOff>
      <xdr:row>62</xdr:row>
      <xdr:rowOff>106683</xdr:rowOff>
    </xdr:to>
    <xdr:sp macro="" textlink="">
      <xdr:nvSpPr>
        <xdr:cNvPr id="41" name="left_panel_9">
          <a:extLst>
            <a:ext uri="{FF2B5EF4-FFF2-40B4-BE49-F238E27FC236}">
              <a16:creationId xmlns:a16="http://schemas.microsoft.com/office/drawing/2014/main" id="{00000000-0008-0000-0000-000029000000}"/>
            </a:ext>
          </a:extLst>
        </xdr:cNvPr>
        <xdr:cNvSpPr txBox="1"/>
      </xdr:nvSpPr>
      <xdr:spPr>
        <a:xfrm>
          <a:off x="447675" y="8328947"/>
          <a:ext cx="1749425" cy="27192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Préfixe des semaines</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57150</xdr:colOff>
      <xdr:row>62</xdr:row>
      <xdr:rowOff>34256</xdr:rowOff>
    </xdr:from>
    <xdr:to>
      <xdr:col>8</xdr:col>
      <xdr:colOff>323850</xdr:colOff>
      <xdr:row>64</xdr:row>
      <xdr:rowOff>50939</xdr:rowOff>
    </xdr:to>
    <xdr:sp macro="" textlink="">
      <xdr:nvSpPr>
        <xdr:cNvPr id="42" name="left_panel_10">
          <a:extLst>
            <a:ext uri="{FF2B5EF4-FFF2-40B4-BE49-F238E27FC236}">
              <a16:creationId xmlns:a16="http://schemas.microsoft.com/office/drawing/2014/main" id="{00000000-0008-0000-0000-00002A000000}"/>
            </a:ext>
          </a:extLst>
        </xdr:cNvPr>
        <xdr:cNvSpPr txBox="1"/>
      </xdr:nvSpPr>
      <xdr:spPr>
        <a:xfrm>
          <a:off x="457200" y="8528440"/>
          <a:ext cx="1924050" cy="34053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Veuillez choisir le préfixe utilisé pour les numéros de semaines</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xdr:col>
      <xdr:colOff>57150</xdr:colOff>
      <xdr:row>61</xdr:row>
      <xdr:rowOff>35968</xdr:rowOff>
    </xdr:from>
    <xdr:to>
      <xdr:col>2</xdr:col>
      <xdr:colOff>85725</xdr:colOff>
      <xdr:row>63</xdr:row>
      <xdr:rowOff>26251</xdr:rowOff>
    </xdr:to>
    <xdr:pic>
      <xdr:nvPicPr>
        <xdr:cNvPr id="43" name="PC-weeksymbol" descr="calendar,view,day,date,schedule">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80975" y="8368227"/>
          <a:ext cx="304800" cy="308071"/>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xdr:col>
      <xdr:colOff>114300</xdr:colOff>
      <xdr:row>26</xdr:row>
      <xdr:rowOff>125556</xdr:rowOff>
    </xdr:from>
    <xdr:to>
      <xdr:col>2</xdr:col>
      <xdr:colOff>57150</xdr:colOff>
      <xdr:row>28</xdr:row>
      <xdr:rowOff>44313</xdr:rowOff>
    </xdr:to>
    <xdr:pic macro="[0]!StartDateToday">
      <xdr:nvPicPr>
        <xdr:cNvPr id="44" name="PC-today" descr="today">
          <a:extLst>
            <a:ext uri="{FF2B5EF4-FFF2-40B4-BE49-F238E27FC236}">
              <a16:creationId xmlns:a16="http://schemas.microsoft.com/office/drawing/2014/main" id="{00000000-0008-0000-0000-00002C000000}"/>
            </a:ext>
          </a:extLst>
        </xdr:cNvPr>
        <xdr:cNvPicPr preferRelativeResize="0">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238125" y="3086100"/>
          <a:ext cx="219075" cy="242606"/>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10</xdr:col>
      <xdr:colOff>95250</xdr:colOff>
      <xdr:row>6</xdr:row>
      <xdr:rowOff>0</xdr:rowOff>
    </xdr:from>
    <xdr:to>
      <xdr:col>12</xdr:col>
      <xdr:colOff>72839</xdr:colOff>
      <xdr:row>12</xdr:row>
      <xdr:rowOff>90901</xdr:rowOff>
    </xdr:to>
    <xdr:pic>
      <xdr:nvPicPr>
        <xdr:cNvPr id="45" name="PC-title" descr="project">
          <a:extLst>
            <a:ext uri="{FF2B5EF4-FFF2-40B4-BE49-F238E27FC236}">
              <a16:creationId xmlns:a16="http://schemas.microsoft.com/office/drawing/2014/main" id="{00000000-0008-0000-0000-00002D000000}"/>
            </a:ext>
          </a:extLst>
        </xdr:cNvPr>
        <xdr:cNvPicPr preferRelativeResize="0">
          <a:picLocks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733675" y="971550"/>
          <a:ext cx="596714" cy="616508"/>
        </a:xfrm>
        <a:prstGeom prst="rect">
          <a:avLst/>
        </a:prstGeom>
        <a:noFill/>
        <a:extLst>
          <a:ext uri="{909E8E84-426E-40dd-AFC4-6F175D3DCCD1}">
            <a14:hiddenFill xmlns:a14="http://schemas.microsoft.com/office/drawing/2010/main" xmlns="">
              <a:solidFill>
                <a:srgbClr val="FFFFFF"/>
              </a:solidFill>
            </a14:hiddenFill>
          </a:ext>
        </a:extLst>
      </xdr:spPr>
    </xdr:pic>
    <xdr:clientData fLocksWithSheet="0"/>
  </xdr:twoCellAnchor>
  <xdr:twoCellAnchor editAs="absolute">
    <xdr:from>
      <xdr:col>1</xdr:col>
      <xdr:colOff>57150</xdr:colOff>
      <xdr:row>29</xdr:row>
      <xdr:rowOff>80929</xdr:rowOff>
    </xdr:from>
    <xdr:to>
      <xdr:col>2</xdr:col>
      <xdr:colOff>85725</xdr:colOff>
      <xdr:row>31</xdr:row>
      <xdr:rowOff>74704</xdr:rowOff>
    </xdr:to>
    <xdr:pic>
      <xdr:nvPicPr>
        <xdr:cNvPr id="46" name="PC-bookmark">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3502135"/>
          <a:ext cx="304800" cy="284817"/>
        </a:xfrm>
        <a:prstGeom prst="rect">
          <a:avLst/>
        </a:prstGeom>
      </xdr:spPr>
    </xdr:pic>
    <xdr:clientData fPrintsWithSheet="0"/>
  </xdr:twoCellAnchor>
  <xdr:twoCellAnchor editAs="absolute">
    <xdr:from>
      <xdr:col>1</xdr:col>
      <xdr:colOff>47625</xdr:colOff>
      <xdr:row>17</xdr:row>
      <xdr:rowOff>10391</xdr:rowOff>
    </xdr:from>
    <xdr:to>
      <xdr:col>2</xdr:col>
      <xdr:colOff>76200</xdr:colOff>
      <xdr:row>22</xdr:row>
      <xdr:rowOff>133858</xdr:rowOff>
    </xdr:to>
    <xdr:pic>
      <xdr:nvPicPr>
        <xdr:cNvPr id="47" name="PC-start" descr="date_go.png">
          <a:extLst>
            <a:ext uri="{FF2B5EF4-FFF2-40B4-BE49-F238E27FC236}">
              <a16:creationId xmlns:a16="http://schemas.microsoft.com/office/drawing/2014/main" id="{00000000-0008-0000-0000-00002F000000}"/>
            </a:ext>
          </a:extLst>
        </xdr:cNvPr>
        <xdr:cNvPicPr preferRelativeResize="0">
          <a:picLocks/>
        </xdr:cNvPicPr>
      </xdr:nvPicPr>
      <xdr:blipFill>
        <a:blip xmlns:r="http://schemas.openxmlformats.org/officeDocument/2006/relationships" r:embed="rId7"/>
        <a:stretch>
          <a:fillRect/>
        </a:stretch>
      </xdr:blipFill>
      <xdr:spPr>
        <a:xfrm>
          <a:off x="171450" y="2181225"/>
          <a:ext cx="304800" cy="294917"/>
        </a:xfrm>
        <a:prstGeom prst="rect">
          <a:avLst/>
        </a:prstGeom>
      </xdr:spPr>
    </xdr:pic>
    <xdr:clientData fPrintsWithSheet="0"/>
  </xdr:twoCellAnchor>
  <xdr:twoCellAnchor editAs="absolute">
    <xdr:from>
      <xdr:col>1</xdr:col>
      <xdr:colOff>38100</xdr:colOff>
      <xdr:row>36</xdr:row>
      <xdr:rowOff>105734</xdr:rowOff>
    </xdr:from>
    <xdr:to>
      <xdr:col>2</xdr:col>
      <xdr:colOff>66675</xdr:colOff>
      <xdr:row>38</xdr:row>
      <xdr:rowOff>145361</xdr:rowOff>
    </xdr:to>
    <xdr:pic>
      <xdr:nvPicPr>
        <xdr:cNvPr id="48" name="PC-workingdays" descr="outlook_calendar_work_week.png">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
        <a:stretch>
          <a:fillRect/>
        </a:stretch>
      </xdr:blipFill>
      <xdr:spPr>
        <a:xfrm>
          <a:off x="161925" y="4589603"/>
          <a:ext cx="304800" cy="330670"/>
        </a:xfrm>
        <a:prstGeom prst="rect">
          <a:avLst/>
        </a:prstGeom>
      </xdr:spPr>
    </xdr:pic>
    <xdr:clientData fPrintsWithSheet="0"/>
  </xdr:twoCellAnchor>
  <xdr:twoCellAnchor editAs="absolute">
    <xdr:from>
      <xdr:col>1</xdr:col>
      <xdr:colOff>2597</xdr:colOff>
      <xdr:row>52</xdr:row>
      <xdr:rowOff>39549</xdr:rowOff>
    </xdr:from>
    <xdr:to>
      <xdr:col>8</xdr:col>
      <xdr:colOff>333374</xdr:colOff>
      <xdr:row>60</xdr:row>
      <xdr:rowOff>32022</xdr:rowOff>
    </xdr:to>
    <xdr:sp macro="" textlink="">
      <xdr:nvSpPr>
        <xdr:cNvPr id="49" name="forme54">
          <a:extLst>
            <a:ext uri="{FF2B5EF4-FFF2-40B4-BE49-F238E27FC236}">
              <a16:creationId xmlns:a16="http://schemas.microsoft.com/office/drawing/2014/main" id="{00000000-0008-0000-0000-000031000000}"/>
            </a:ext>
          </a:extLst>
        </xdr:cNvPr>
        <xdr:cNvSpPr/>
      </xdr:nvSpPr>
      <xdr:spPr>
        <a:xfrm>
          <a:off x="126422" y="6937381"/>
          <a:ext cx="2264352" cy="12649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2</xdr:col>
      <xdr:colOff>89199</xdr:colOff>
      <xdr:row>52</xdr:row>
      <xdr:rowOff>49365</xdr:rowOff>
    </xdr:from>
    <xdr:to>
      <xdr:col>8</xdr:col>
      <xdr:colOff>120650</xdr:colOff>
      <xdr:row>54</xdr:row>
      <xdr:rowOff>39129</xdr:rowOff>
    </xdr:to>
    <xdr:sp macro="" textlink="">
      <xdr:nvSpPr>
        <xdr:cNvPr id="50" name="CF_panel_1">
          <a:extLst>
            <a:ext uri="{FF2B5EF4-FFF2-40B4-BE49-F238E27FC236}">
              <a16:creationId xmlns:a16="http://schemas.microsoft.com/office/drawing/2014/main" id="{00000000-0008-0000-0000-000032000000}"/>
            </a:ext>
          </a:extLst>
        </xdr:cNvPr>
        <xdr:cNvSpPr txBox="1"/>
      </xdr:nvSpPr>
      <xdr:spPr>
        <a:xfrm>
          <a:off x="489249" y="6947197"/>
          <a:ext cx="1688801" cy="29071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Style du Gantt</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104774</xdr:colOff>
      <xdr:row>54</xdr:row>
      <xdr:rowOff>8492</xdr:rowOff>
    </xdr:from>
    <xdr:to>
      <xdr:col>8</xdr:col>
      <xdr:colOff>304800</xdr:colOff>
      <xdr:row>57</xdr:row>
      <xdr:rowOff>109616</xdr:rowOff>
    </xdr:to>
    <xdr:sp macro="" textlink="">
      <xdr:nvSpPr>
        <xdr:cNvPr id="51" name="CF_panel_2">
          <a:extLst>
            <a:ext uri="{FF2B5EF4-FFF2-40B4-BE49-F238E27FC236}">
              <a16:creationId xmlns:a16="http://schemas.microsoft.com/office/drawing/2014/main" id="{00000000-0008-0000-0000-000033000000}"/>
            </a:ext>
          </a:extLst>
        </xdr:cNvPr>
        <xdr:cNvSpPr txBox="1"/>
      </xdr:nvSpPr>
      <xdr:spPr>
        <a:xfrm>
          <a:off x="504824" y="7204101"/>
          <a:ext cx="1857376" cy="59007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Choisissez le type de couleurs à utiliser pour le diagramme</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180975</xdr:colOff>
          <xdr:row>57</xdr:row>
          <xdr:rowOff>25400</xdr:rowOff>
        </xdr:from>
        <xdr:to>
          <xdr:col>8</xdr:col>
          <xdr:colOff>152400</xdr:colOff>
          <xdr:row>58</xdr:row>
          <xdr:rowOff>127000</xdr:rowOff>
        </xdr:to>
        <xdr:sp macro="" textlink="">
          <xdr:nvSpPr>
            <xdr:cNvPr id="144398" name="Drop Down 14" hidden="1">
              <a:extLst>
                <a:ext uri="{63B3BB69-23CF-44E3-9099-C40C66FF867C}">
                  <a14:compatExt spid="_x0000_s144398"/>
                </a:ext>
                <a:ext uri="{FF2B5EF4-FFF2-40B4-BE49-F238E27FC236}">
                  <a16:creationId xmlns:a16="http://schemas.microsoft.com/office/drawing/2014/main" id="{00000000-0008-0000-0000-00000E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47625</xdr:colOff>
      <xdr:row>52</xdr:row>
      <xdr:rowOff>121730</xdr:rowOff>
    </xdr:from>
    <xdr:to>
      <xdr:col>2</xdr:col>
      <xdr:colOff>76200</xdr:colOff>
      <xdr:row>54</xdr:row>
      <xdr:rowOff>152623</xdr:rowOff>
    </xdr:to>
    <xdr:pic>
      <xdr:nvPicPr>
        <xdr:cNvPr id="53" name="PC-style">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450" y="7019562"/>
          <a:ext cx="304800" cy="331845"/>
        </a:xfrm>
        <a:prstGeom prst="rect">
          <a:avLst/>
        </a:prstGeom>
      </xdr:spPr>
    </xdr:pic>
    <xdr:clientData fPrintsWithSheet="0"/>
  </xdr:twoCellAnchor>
  <xdr:twoCellAnchor editAs="absolute">
    <xdr:from>
      <xdr:col>1</xdr:col>
      <xdr:colOff>63922</xdr:colOff>
      <xdr:row>68</xdr:row>
      <xdr:rowOff>102680</xdr:rowOff>
    </xdr:from>
    <xdr:to>
      <xdr:col>2</xdr:col>
      <xdr:colOff>112182</xdr:colOff>
      <xdr:row>71</xdr:row>
      <xdr:rowOff>4889</xdr:rowOff>
    </xdr:to>
    <xdr:pic>
      <xdr:nvPicPr>
        <xdr:cNvPr id="54" name="mac-optional" descr="add, table icon" hidden="1">
          <a:extLst>
            <a:ext uri="{FF2B5EF4-FFF2-40B4-BE49-F238E27FC236}">
              <a16:creationId xmlns:a16="http://schemas.microsoft.com/office/drawing/2014/main" id="{00000000-0008-0000-0000-000036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87747" y="9568414"/>
          <a:ext cx="324485" cy="384809"/>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xdr:col>
      <xdr:colOff>47625</xdr:colOff>
      <xdr:row>52</xdr:row>
      <xdr:rowOff>124816</xdr:rowOff>
    </xdr:from>
    <xdr:to>
      <xdr:col>2</xdr:col>
      <xdr:colOff>95885</xdr:colOff>
      <xdr:row>55</xdr:row>
      <xdr:rowOff>100537</xdr:rowOff>
    </xdr:to>
    <xdr:pic>
      <xdr:nvPicPr>
        <xdr:cNvPr id="55" name="mac-style" hidden="1">
          <a:extLst>
            <a:ext uri="{FF2B5EF4-FFF2-40B4-BE49-F238E27FC236}">
              <a16:creationId xmlns:a16="http://schemas.microsoft.com/office/drawing/2014/main" id="{00000000-0008-0000-0000-00003700000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450" y="7022648"/>
          <a:ext cx="324485" cy="438598"/>
        </a:xfrm>
        <a:prstGeom prst="rect">
          <a:avLst/>
        </a:prstGeom>
      </xdr:spPr>
    </xdr:pic>
    <xdr:clientData fPrintsWithSheet="0"/>
  </xdr:twoCellAnchor>
  <xdr:twoCellAnchor editAs="absolute">
    <xdr:from>
      <xdr:col>20</xdr:col>
      <xdr:colOff>27703</xdr:colOff>
      <xdr:row>12</xdr:row>
      <xdr:rowOff>117672</xdr:rowOff>
    </xdr:from>
    <xdr:to>
      <xdr:col>37</xdr:col>
      <xdr:colOff>88464</xdr:colOff>
      <xdr:row>15</xdr:row>
      <xdr:rowOff>118838</xdr:rowOff>
    </xdr:to>
    <xdr:sp macro="[0]!cancel_full_screen" textlink="">
      <xdr:nvSpPr>
        <xdr:cNvPr id="56" name="cancel_full_scr1" hidden="1">
          <a:extLst>
            <a:ext uri="{FF2B5EF4-FFF2-40B4-BE49-F238E27FC236}">
              <a16:creationId xmlns:a16="http://schemas.microsoft.com/office/drawing/2014/main" id="{00000000-0008-0000-0000-000038000000}"/>
            </a:ext>
          </a:extLst>
        </xdr:cNvPr>
        <xdr:cNvSpPr txBox="1"/>
      </xdr:nvSpPr>
      <xdr:spPr>
        <a:xfrm>
          <a:off x="6462370" y="1588755"/>
          <a:ext cx="1891677" cy="15991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spAutoFit/>
        </a:bodyPr>
        <a:lstStyle/>
        <a:p>
          <a:pPr algn="ctr"/>
          <a:r>
            <a:rPr kumimoji="1" lang="en-US" altLang="ja-JP" sz="1100" b="0" cap="none" spc="0">
              <a:ln>
                <a:noFill/>
              </a:ln>
              <a:solidFill>
                <a:schemeClr val="bg1"/>
              </a:solidFill>
              <a:effectLst/>
              <a:latin typeface="Franklin Gothic Book" pitchFamily="34" charset="0"/>
              <a:ea typeface="Arial Unicode MS" panose="020B0604020202020204" pitchFamily="50" charset="-128"/>
              <a:cs typeface="Arial" panose="020B0604020202020204" pitchFamily="34" charset="0"/>
            </a:rPr>
            <a:t>Quitter le plein écran</a:t>
          </a:r>
          <a:endParaRPr kumimoji="1" lang="ja-JP" altLang="en-US" sz="1100" b="0" cap="none" spc="0">
            <a:ln>
              <a:noFill/>
            </a:ln>
            <a:solidFill>
              <a:schemeClr val="bg1"/>
            </a:solidFill>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5</xdr:col>
      <xdr:colOff>76200</xdr:colOff>
      <xdr:row>26</xdr:row>
      <xdr:rowOff>125556</xdr:rowOff>
    </xdr:from>
    <xdr:to>
      <xdr:col>6</xdr:col>
      <xdr:colOff>19050</xdr:colOff>
      <xdr:row>28</xdr:row>
      <xdr:rowOff>44313</xdr:rowOff>
    </xdr:to>
    <xdr:pic macro="[0]!StartDateLowest">
      <xdr:nvPicPr>
        <xdr:cNvPr id="57" name="PC-auto" descr="today">
          <a:extLst>
            <a:ext uri="{FF2B5EF4-FFF2-40B4-BE49-F238E27FC236}">
              <a16:creationId xmlns:a16="http://schemas.microsoft.com/office/drawing/2014/main" id="{00000000-0008-0000-0000-000039000000}"/>
            </a:ext>
          </a:extLst>
        </xdr:cNvPr>
        <xdr:cNvPicPr>
          <a:picLocks noChangeAspect="1"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1304925" y="3086100"/>
          <a:ext cx="219075" cy="242606"/>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2</xdr:col>
      <xdr:colOff>38099</xdr:colOff>
      <xdr:row>26</xdr:row>
      <xdr:rowOff>173886</xdr:rowOff>
    </xdr:from>
    <xdr:to>
      <xdr:col>5</xdr:col>
      <xdr:colOff>47625</xdr:colOff>
      <xdr:row>28</xdr:row>
      <xdr:rowOff>30306</xdr:rowOff>
    </xdr:to>
    <xdr:sp macro="[0]!StartDateToday" textlink="">
      <xdr:nvSpPr>
        <xdr:cNvPr id="58" name="left_panel_3">
          <a:extLst>
            <a:ext uri="{FF2B5EF4-FFF2-40B4-BE49-F238E27FC236}">
              <a16:creationId xmlns:a16="http://schemas.microsoft.com/office/drawing/2014/main" id="{00000000-0008-0000-0000-00003A000000}"/>
            </a:ext>
          </a:extLst>
        </xdr:cNvPr>
        <xdr:cNvSpPr txBox="1"/>
      </xdr:nvSpPr>
      <xdr:spPr>
        <a:xfrm>
          <a:off x="438149" y="3130966"/>
          <a:ext cx="838201" cy="18373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Aujourd'hui</a:t>
          </a:r>
          <a:endPar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6</xdr:col>
      <xdr:colOff>9523</xdr:colOff>
      <xdr:row>26</xdr:row>
      <xdr:rowOff>173886</xdr:rowOff>
    </xdr:from>
    <xdr:to>
      <xdr:col>8</xdr:col>
      <xdr:colOff>342900</xdr:colOff>
      <xdr:row>28</xdr:row>
      <xdr:rowOff>44313</xdr:rowOff>
    </xdr:to>
    <xdr:sp macro="[0]!StartDateLowest" textlink="">
      <xdr:nvSpPr>
        <xdr:cNvPr id="59" name="left_panel_4">
          <a:extLst>
            <a:ext uri="{FF2B5EF4-FFF2-40B4-BE49-F238E27FC236}">
              <a16:creationId xmlns:a16="http://schemas.microsoft.com/office/drawing/2014/main" id="{00000000-0008-0000-0000-00003B000000}"/>
            </a:ext>
          </a:extLst>
        </xdr:cNvPr>
        <xdr:cNvSpPr txBox="1"/>
      </xdr:nvSpPr>
      <xdr:spPr>
        <a:xfrm>
          <a:off x="1514473" y="3130966"/>
          <a:ext cx="885827" cy="19774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Automatique</a:t>
          </a:r>
        </a:p>
      </xdr:txBody>
    </xdr:sp>
    <xdr:clientData fPrintsWithSheet="0"/>
  </xdr:twoCellAnchor>
  <xdr:twoCellAnchor editAs="absolute">
    <xdr:from>
      <xdr:col>2</xdr:col>
      <xdr:colOff>47625</xdr:colOff>
      <xdr:row>68</xdr:row>
      <xdr:rowOff>69874</xdr:rowOff>
    </xdr:from>
    <xdr:to>
      <xdr:col>8</xdr:col>
      <xdr:colOff>200025</xdr:colOff>
      <xdr:row>70</xdr:row>
      <xdr:rowOff>26732</xdr:rowOff>
    </xdr:to>
    <xdr:sp macro="" textlink="">
      <xdr:nvSpPr>
        <xdr:cNvPr id="60" name="left_panel_11">
          <a:extLst>
            <a:ext uri="{FF2B5EF4-FFF2-40B4-BE49-F238E27FC236}">
              <a16:creationId xmlns:a16="http://schemas.microsoft.com/office/drawing/2014/main" id="{00000000-0008-0000-0000-00003C000000}"/>
            </a:ext>
          </a:extLst>
        </xdr:cNvPr>
        <xdr:cNvSpPr txBox="1"/>
      </xdr:nvSpPr>
      <xdr:spPr>
        <a:xfrm>
          <a:off x="447675" y="9535608"/>
          <a:ext cx="1809750" cy="2807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Optionnel</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3</xdr:col>
      <xdr:colOff>95249</xdr:colOff>
      <xdr:row>70</xdr:row>
      <xdr:rowOff>1750</xdr:rowOff>
    </xdr:from>
    <xdr:to>
      <xdr:col>8</xdr:col>
      <xdr:colOff>262124</xdr:colOff>
      <xdr:row>71</xdr:row>
      <xdr:rowOff>23269</xdr:rowOff>
    </xdr:to>
    <xdr:sp macro="" textlink="">
      <xdr:nvSpPr>
        <xdr:cNvPr id="61" name="left_panel_13">
          <a:extLst>
            <a:ext uri="{FF2B5EF4-FFF2-40B4-BE49-F238E27FC236}">
              <a16:creationId xmlns:a16="http://schemas.microsoft.com/office/drawing/2014/main" id="{00000000-0008-0000-0000-00003D000000}"/>
            </a:ext>
          </a:extLst>
        </xdr:cNvPr>
        <xdr:cNvSpPr txBox="1"/>
      </xdr:nvSpPr>
      <xdr:spPr>
        <a:xfrm>
          <a:off x="771524" y="9788159"/>
          <a:ext cx="1548000" cy="18055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Afficher le budget</a:t>
          </a:r>
        </a:p>
      </xdr:txBody>
    </xdr:sp>
    <xdr:clientData fPrintsWithSheet="0"/>
  </xdr:twoCellAnchor>
  <xdr:twoCellAnchor editAs="absolute">
    <xdr:from>
      <xdr:col>3</xdr:col>
      <xdr:colOff>95250</xdr:colOff>
      <xdr:row>71</xdr:row>
      <xdr:rowOff>90095</xdr:rowOff>
    </xdr:from>
    <xdr:to>
      <xdr:col>8</xdr:col>
      <xdr:colOff>295275</xdr:colOff>
      <xdr:row>72</xdr:row>
      <xdr:rowOff>147382</xdr:rowOff>
    </xdr:to>
    <xdr:sp macro="" textlink="">
      <xdr:nvSpPr>
        <xdr:cNvPr id="62" name="left_panel_15">
          <a:extLst>
            <a:ext uri="{FF2B5EF4-FFF2-40B4-BE49-F238E27FC236}">
              <a16:creationId xmlns:a16="http://schemas.microsoft.com/office/drawing/2014/main" id="{00000000-0008-0000-0000-00003E000000}"/>
            </a:ext>
          </a:extLst>
        </xdr:cNvPr>
        <xdr:cNvSpPr txBox="1"/>
      </xdr:nvSpPr>
      <xdr:spPr>
        <a:xfrm>
          <a:off x="771525" y="10041604"/>
          <a:ext cx="1581150" cy="21921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Afficher les commentaires</a:t>
          </a:r>
        </a:p>
      </xdr:txBody>
    </xdr:sp>
    <xdr:clientData fPrintsWithSheet="0"/>
  </xdr:twoCellAnchor>
  <xdr:twoCellAnchor editAs="absolute">
    <xdr:from>
      <xdr:col>3</xdr:col>
      <xdr:colOff>85725</xdr:colOff>
      <xdr:row>73</xdr:row>
      <xdr:rowOff>29618</xdr:rowOff>
    </xdr:from>
    <xdr:to>
      <xdr:col>8</xdr:col>
      <xdr:colOff>285750</xdr:colOff>
      <xdr:row>75</xdr:row>
      <xdr:rowOff>68792</xdr:rowOff>
    </xdr:to>
    <xdr:sp macro="" textlink="" fLocksText="0">
      <xdr:nvSpPr>
        <xdr:cNvPr id="63" name="left_panel_16">
          <a:extLst>
            <a:ext uri="{FF2B5EF4-FFF2-40B4-BE49-F238E27FC236}">
              <a16:creationId xmlns:a16="http://schemas.microsoft.com/office/drawing/2014/main" id="{00000000-0008-0000-0000-00003F000000}"/>
            </a:ext>
          </a:extLst>
        </xdr:cNvPr>
        <xdr:cNvSpPr txBox="1"/>
      </xdr:nvSpPr>
      <xdr:spPr>
        <a:xfrm>
          <a:off x="762000" y="10304977"/>
          <a:ext cx="1581150" cy="36302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Rappel à l'ouverture pour activer les macros</a:t>
          </a:r>
        </a:p>
      </xdr:txBody>
    </xdr:sp>
    <xdr:clientData fPrintsWithSheet="0"/>
  </xdr:twoCellAnchor>
  <xdr:twoCellAnchor editAs="absolute">
    <xdr:from>
      <xdr:col>1</xdr:col>
      <xdr:colOff>127636</xdr:colOff>
      <xdr:row>26</xdr:row>
      <xdr:rowOff>116031</xdr:rowOff>
    </xdr:from>
    <xdr:to>
      <xdr:col>2</xdr:col>
      <xdr:colOff>21901</xdr:colOff>
      <xdr:row>28</xdr:row>
      <xdr:rowOff>15738</xdr:rowOff>
    </xdr:to>
    <xdr:pic macro="[0]!StartDateToday">
      <xdr:nvPicPr>
        <xdr:cNvPr id="64" name="mac-today" descr="today" hidden="1">
          <a:extLst>
            <a:ext uri="{FF2B5EF4-FFF2-40B4-BE49-F238E27FC236}">
              <a16:creationId xmlns:a16="http://schemas.microsoft.com/office/drawing/2014/main" id="{00000000-0008-0000-0000-000040000000}"/>
            </a:ext>
          </a:extLst>
        </xdr:cNvPr>
        <xdr:cNvPicPr preferRelativeResize="0">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251461" y="3076575"/>
          <a:ext cx="170490" cy="223556"/>
        </a:xfrm>
        <a:prstGeom prst="rect">
          <a:avLst/>
        </a:prstGeom>
        <a:noFill/>
        <a:extLst>
          <a:ext uri="{909E8E84-426E-40dd-AFC4-6F175D3DCCD1}">
            <a14:hiddenFill xmlns:a14="http://schemas.microsoft.com/office/drawing/2010/main" xmlns="">
              <a:solidFill>
                <a:srgbClr val="FFFFFF"/>
              </a:solidFill>
            </a14:hiddenFill>
          </a:ext>
        </a:extLst>
      </xdr:spPr>
    </xdr:pic>
    <xdr:clientData fLocksWithSheet="0" fPrintsWithSheet="0"/>
  </xdr:twoCellAnchor>
  <xdr:twoCellAnchor editAs="absolute">
    <xdr:from>
      <xdr:col>5</xdr:col>
      <xdr:colOff>79375</xdr:colOff>
      <xdr:row>26</xdr:row>
      <xdr:rowOff>96981</xdr:rowOff>
    </xdr:from>
    <xdr:to>
      <xdr:col>5</xdr:col>
      <xdr:colOff>254099</xdr:colOff>
      <xdr:row>28</xdr:row>
      <xdr:rowOff>6213</xdr:rowOff>
    </xdr:to>
    <xdr:pic macro="[0]!StartDateLowest">
      <xdr:nvPicPr>
        <xdr:cNvPr id="65" name="mac-auto" descr="today" hidden="1">
          <a:extLst>
            <a:ext uri="{FF2B5EF4-FFF2-40B4-BE49-F238E27FC236}">
              <a16:creationId xmlns:a16="http://schemas.microsoft.com/office/drawing/2014/main" id="{00000000-0008-0000-0000-000041000000}"/>
            </a:ext>
          </a:extLst>
        </xdr:cNvPr>
        <xdr:cNvPicPr>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1308100" y="3057525"/>
          <a:ext cx="174724" cy="233081"/>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2</xdr:col>
      <xdr:colOff>66675</xdr:colOff>
      <xdr:row>43</xdr:row>
      <xdr:rowOff>32460</xdr:rowOff>
    </xdr:from>
    <xdr:to>
      <xdr:col>8</xdr:col>
      <xdr:colOff>304801</xdr:colOff>
      <xdr:row>45</xdr:row>
      <xdr:rowOff>0</xdr:rowOff>
    </xdr:to>
    <xdr:sp macro="" textlink="">
      <xdr:nvSpPr>
        <xdr:cNvPr id="66" name="left_panel_17">
          <a:extLst>
            <a:ext uri="{FF2B5EF4-FFF2-40B4-BE49-F238E27FC236}">
              <a16:creationId xmlns:a16="http://schemas.microsoft.com/office/drawing/2014/main" id="{00000000-0008-0000-0000-000042000000}"/>
            </a:ext>
          </a:extLst>
        </xdr:cNvPr>
        <xdr:cNvSpPr txBox="1"/>
      </xdr:nvSpPr>
      <xdr:spPr>
        <a:xfrm>
          <a:off x="466725" y="5584188"/>
          <a:ext cx="1895476" cy="24821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Jours de week-end:</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85725</xdr:colOff>
      <xdr:row>46</xdr:row>
      <xdr:rowOff>137710</xdr:rowOff>
    </xdr:from>
    <xdr:to>
      <xdr:col>8</xdr:col>
      <xdr:colOff>323851</xdr:colOff>
      <xdr:row>48</xdr:row>
      <xdr:rowOff>102254</xdr:rowOff>
    </xdr:to>
    <xdr:sp macro="" textlink="">
      <xdr:nvSpPr>
        <xdr:cNvPr id="67" name="left_panel_18">
          <a:extLst>
            <a:ext uri="{FF2B5EF4-FFF2-40B4-BE49-F238E27FC236}">
              <a16:creationId xmlns:a16="http://schemas.microsoft.com/office/drawing/2014/main" id="{00000000-0008-0000-0000-000043000000}"/>
            </a:ext>
          </a:extLst>
        </xdr:cNvPr>
        <xdr:cNvSpPr txBox="1"/>
      </xdr:nvSpPr>
      <xdr:spPr>
        <a:xfrm>
          <a:off x="485775" y="6096993"/>
          <a:ext cx="1895476" cy="2666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Premier jour de semaine:</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18</xdr:col>
      <xdr:colOff>305298</xdr:colOff>
      <xdr:row>24</xdr:row>
      <xdr:rowOff>58526</xdr:rowOff>
    </xdr:from>
    <xdr:to>
      <xdr:col>27</xdr:col>
      <xdr:colOff>486833</xdr:colOff>
      <xdr:row>39</xdr:row>
      <xdr:rowOff>139709</xdr:rowOff>
    </xdr:to>
    <xdr:grpSp>
      <xdr:nvGrpSpPr>
        <xdr:cNvPr id="68" name="popup-help" hidden="1">
          <a:extLst>
            <a:ext uri="{FF2B5EF4-FFF2-40B4-BE49-F238E27FC236}">
              <a16:creationId xmlns:a16="http://schemas.microsoft.com/office/drawing/2014/main" id="{00000000-0008-0000-0000-000044000000}"/>
            </a:ext>
          </a:extLst>
        </xdr:cNvPr>
        <xdr:cNvGrpSpPr/>
      </xdr:nvGrpSpPr>
      <xdr:grpSpPr>
        <a:xfrm>
          <a:off x="5628715" y="2704359"/>
          <a:ext cx="2086535" cy="2388350"/>
          <a:chOff x="6057900" y="2828925"/>
          <a:chExt cx="2105025" cy="1759488"/>
        </a:xfrm>
      </xdr:grpSpPr>
      <xdr:sp macro="" textlink="">
        <xdr:nvSpPr>
          <xdr:cNvPr id="69" name="popup-help-1" hidden="1">
            <a:extLst>
              <a:ext uri="{FF2B5EF4-FFF2-40B4-BE49-F238E27FC236}">
                <a16:creationId xmlns:a16="http://schemas.microsoft.com/office/drawing/2014/main" id="{00000000-0008-0000-0000-000045000000}"/>
              </a:ext>
            </a:extLst>
          </xdr:cNvPr>
          <xdr:cNvSpPr/>
        </xdr:nvSpPr>
        <xdr:spPr>
          <a:xfrm>
            <a:off x="6105171" y="2871788"/>
            <a:ext cx="2057754" cy="1716625"/>
          </a:xfrm>
          <a:prstGeom prst="rect">
            <a:avLst/>
          </a:prstGeom>
          <a:gradFill flip="none" rotWithShape="1">
            <a:gsLst>
              <a:gs pos="0">
                <a:schemeClr val="bg1">
                  <a:lumMod val="75000"/>
                  <a:tint val="66000"/>
                  <a:satMod val="160000"/>
                </a:schemeClr>
              </a:gs>
              <a:gs pos="50000">
                <a:schemeClr val="bg1">
                  <a:lumMod val="75000"/>
                  <a:tint val="44500"/>
                  <a:satMod val="160000"/>
                </a:schemeClr>
              </a:gs>
              <a:gs pos="100000">
                <a:schemeClr val="bg1">
                  <a:lumMod val="75000"/>
                  <a:tint val="23500"/>
                  <a:satMod val="160000"/>
                </a:schemeClr>
              </a:gs>
            </a:gsLst>
            <a:lin ang="13500000" scaled="1"/>
            <a:tileRect/>
          </a:gradFill>
          <a:ln w="6350">
            <a:solidFill>
              <a:schemeClr val="bg1">
                <a:lumMod val="50000"/>
              </a:schemeClr>
            </a:solid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0" name="Straight Connector 65" hidden="1">
            <a:extLst>
              <a:ext uri="{FF2B5EF4-FFF2-40B4-BE49-F238E27FC236}">
                <a16:creationId xmlns:a16="http://schemas.microsoft.com/office/drawing/2014/main" id="{00000000-0008-0000-0000-000046000000}"/>
              </a:ext>
            </a:extLst>
          </xdr:cNvPr>
          <xdr:cNvCxnSpPr/>
        </xdr:nvCxnSpPr>
        <xdr:spPr>
          <a:xfrm flipH="1" flipV="1">
            <a:off x="6057900" y="2828925"/>
            <a:ext cx="52806" cy="52034"/>
          </a:xfrm>
          <a:prstGeom prst="line">
            <a:avLst/>
          </a:prstGeom>
          <a:gradFill flip="none" rotWithShape="1">
            <a:gsLst>
              <a:gs pos="0">
                <a:schemeClr val="bg1">
                  <a:lumMod val="75000"/>
                  <a:tint val="66000"/>
                  <a:satMod val="160000"/>
                </a:schemeClr>
              </a:gs>
              <a:gs pos="50000">
                <a:schemeClr val="bg1">
                  <a:lumMod val="75000"/>
                  <a:tint val="44500"/>
                  <a:satMod val="160000"/>
                </a:schemeClr>
              </a:gs>
              <a:gs pos="100000">
                <a:schemeClr val="bg1">
                  <a:lumMod val="75000"/>
                  <a:tint val="23500"/>
                  <a:satMod val="160000"/>
                </a:schemeClr>
              </a:gs>
            </a:gsLst>
            <a:lin ang="13500000" scaled="1"/>
            <a:tileRect/>
          </a:gradFill>
          <a:ln w="63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cxnSp>
      <xdr:sp macro="[0]!Show_Hide_Help_Popup_1" textlink="" fLocksText="0">
        <xdr:nvSpPr>
          <xdr:cNvPr id="71" name="popup-help-close" hidden="1">
            <a:extLst>
              <a:ext uri="{FF2B5EF4-FFF2-40B4-BE49-F238E27FC236}">
                <a16:creationId xmlns:a16="http://schemas.microsoft.com/office/drawing/2014/main" id="{00000000-0008-0000-0000-000047000000}"/>
              </a:ext>
            </a:extLst>
          </xdr:cNvPr>
          <xdr:cNvSpPr txBox="1"/>
        </xdr:nvSpPr>
        <xdr:spPr>
          <a:xfrm>
            <a:off x="8027216" y="2901458"/>
            <a:ext cx="116551" cy="11248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kumimoji="1" lang="en-US" altLang="ja-JP" sz="1000" b="1" cap="none" spc="0">
                <a:ln>
                  <a:noFill/>
                </a:ln>
                <a:solidFill>
                  <a:srgbClr val="C00000"/>
                </a:solidFill>
                <a:effectLst/>
                <a:latin typeface="Arial" panose="020B0604020202020204" pitchFamily="34" charset="0"/>
                <a:ea typeface="Arial Unicode MS" panose="020B0604020202020204" pitchFamily="50" charset="-128"/>
                <a:cs typeface="Arial" panose="020B0604020202020204" pitchFamily="34" charset="0"/>
              </a:rPr>
              <a:t>X</a:t>
            </a:r>
            <a:endParaRPr kumimoji="1" lang="ja-JP" altLang="en-US" sz="1000" b="1" cap="none" spc="0">
              <a:ln>
                <a:noFill/>
              </a:ln>
              <a:solidFill>
                <a:srgbClr val="C00000"/>
              </a:solidFill>
              <a:effectLst/>
              <a:latin typeface="Arial" panose="020B0604020202020204" pitchFamily="34" charset="0"/>
              <a:ea typeface="Arial Unicode MS" panose="020B0604020202020204" pitchFamily="50" charset="-128"/>
              <a:cs typeface="Arial" panose="020B0604020202020204" pitchFamily="34" charset="0"/>
            </a:endParaRPr>
          </a:p>
        </xdr:txBody>
      </xdr:sp>
      <xdr:sp macro="" textlink="" fLocksText="0">
        <xdr:nvSpPr>
          <xdr:cNvPr id="72" name="popup-help-title" hidden="1">
            <a:extLst>
              <a:ext uri="{FF2B5EF4-FFF2-40B4-BE49-F238E27FC236}">
                <a16:creationId xmlns:a16="http://schemas.microsoft.com/office/drawing/2014/main" id="{00000000-0008-0000-0000-000048000000}"/>
              </a:ext>
            </a:extLst>
          </xdr:cNvPr>
          <xdr:cNvSpPr txBox="1"/>
        </xdr:nvSpPr>
        <xdr:spPr>
          <a:xfrm>
            <a:off x="6101180" y="2894890"/>
            <a:ext cx="1861720" cy="18168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200" b="0" u="sng" cap="none" spc="0">
                <a:ln>
                  <a:noFill/>
                </a:ln>
                <a:solidFill>
                  <a:schemeClr val="tx1">
                    <a:lumMod val="85000"/>
                    <a:lumOff val="15000"/>
                  </a:schemeClr>
                </a:solidFill>
                <a:effectLst/>
                <a:latin typeface="Franklin Gothic Medium" panose="020B0603020102020204" pitchFamily="34" charset="0"/>
                <a:ea typeface="Arial Unicode MS" panose="020B0604020202020204" pitchFamily="50" charset="-128"/>
                <a:cs typeface="Arial" panose="020B0604020202020204" pitchFamily="34" charset="0"/>
              </a:rPr>
              <a:t>How to fill the start date ?</a:t>
            </a:r>
            <a:endParaRPr kumimoji="1" lang="ja-JP" altLang="en-US" sz="1200" b="0" u="sng" cap="none" spc="0">
              <a:ln>
                <a:noFill/>
              </a:ln>
              <a:solidFill>
                <a:schemeClr val="tx1">
                  <a:lumMod val="85000"/>
                  <a:lumOff val="15000"/>
                </a:schemeClr>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sp macro="" textlink="" fLocksText="0">
        <xdr:nvSpPr>
          <xdr:cNvPr id="73" name="popup-help-core" hidden="1">
            <a:extLst>
              <a:ext uri="{FF2B5EF4-FFF2-40B4-BE49-F238E27FC236}">
                <a16:creationId xmlns:a16="http://schemas.microsoft.com/office/drawing/2014/main" id="{00000000-0008-0000-0000-000049000000}"/>
              </a:ext>
            </a:extLst>
          </xdr:cNvPr>
          <xdr:cNvSpPr txBox="1"/>
        </xdr:nvSpPr>
        <xdr:spPr>
          <a:xfrm>
            <a:off x="6181725" y="3064730"/>
            <a:ext cx="1933575" cy="121894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noAutofit/>
          </a:bodyPr>
          <a:lstStyle/>
          <a:p>
            <a:pPr marL="0" indent="0" algn="just"/>
            <a:r>
              <a:rPr kumimoji="1" lang="en-US" altLang="ja-JP"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rPr>
              <a:t>From the drop-down menu, you can select "After Previous" to start your task just after the previous one or "With Previous" to start your task at the same date as the previous one.
If you wish to input manually any specific date, just type it in the cell.</a:t>
            </a:r>
            <a:endParaRPr kumimoji="1" lang="ja-JP" altLang="en-US"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sp macro="" textlink="" fLocksText="0">
        <xdr:nvSpPr>
          <xdr:cNvPr id="74" name="popup-help-link" hidden="1">
            <a:hlinkClick xmlns:r="http://schemas.openxmlformats.org/officeDocument/2006/relationships" r:id="rId9"/>
            <a:extLst>
              <a:ext uri="{FF2B5EF4-FFF2-40B4-BE49-F238E27FC236}">
                <a16:creationId xmlns:a16="http://schemas.microsoft.com/office/drawing/2014/main" id="{00000000-0008-0000-0000-00004A000000}"/>
              </a:ext>
            </a:extLst>
          </xdr:cNvPr>
          <xdr:cNvSpPr txBox="1"/>
        </xdr:nvSpPr>
        <xdr:spPr>
          <a:xfrm>
            <a:off x="6200775" y="4296951"/>
            <a:ext cx="1933575" cy="24792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noAutofit/>
          </a:bodyPr>
          <a:lstStyle/>
          <a:p>
            <a:pPr marL="0" indent="0" algn="just"/>
            <a:r>
              <a:rPr kumimoji="1" lang="en-US" altLang="ja-JP"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rPr>
              <a:t>For more details, visit our online support page.</a:t>
            </a:r>
            <a:endParaRPr kumimoji="1" lang="ja-JP" altLang="en-US"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grpSp>
    <xdr:clientData fLocksWithSheet="0" fPrintsWithSheet="0"/>
  </xdr:twoCellAnchor>
  <xdr:twoCellAnchor editAs="absolute">
    <xdr:from>
      <xdr:col>1</xdr:col>
      <xdr:colOff>9524</xdr:colOff>
      <xdr:row>9</xdr:row>
      <xdr:rowOff>180560</xdr:rowOff>
    </xdr:from>
    <xdr:to>
      <xdr:col>8</xdr:col>
      <xdr:colOff>342899</xdr:colOff>
      <xdr:row>16</xdr:row>
      <xdr:rowOff>25331</xdr:rowOff>
    </xdr:to>
    <xdr:sp macro="" textlink="">
      <xdr:nvSpPr>
        <xdr:cNvPr id="75" name="frome44">
          <a:extLst>
            <a:ext uri="{FF2B5EF4-FFF2-40B4-BE49-F238E27FC236}">
              <a16:creationId xmlns:a16="http://schemas.microsoft.com/office/drawing/2014/main" id="{00000000-0008-0000-0000-00004B000000}"/>
            </a:ext>
          </a:extLst>
        </xdr:cNvPr>
        <xdr:cNvSpPr/>
      </xdr:nvSpPr>
      <xdr:spPr>
        <a:xfrm>
          <a:off x="133349" y="1158172"/>
          <a:ext cx="2266950" cy="866544"/>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66675</xdr:colOff>
      <xdr:row>10</xdr:row>
      <xdr:rowOff>4073</xdr:rowOff>
    </xdr:from>
    <xdr:to>
      <xdr:col>2</xdr:col>
      <xdr:colOff>98425</xdr:colOff>
      <xdr:row>12</xdr:row>
      <xdr:rowOff>14111</xdr:rowOff>
    </xdr:to>
    <xdr:pic>
      <xdr:nvPicPr>
        <xdr:cNvPr id="76" name="PC-view" descr="monitor_edit.png">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10"/>
        <a:stretch>
          <a:fillRect/>
        </a:stretch>
      </xdr:blipFill>
      <xdr:spPr>
        <a:xfrm>
          <a:off x="190500" y="1189503"/>
          <a:ext cx="307975" cy="335055"/>
        </a:xfrm>
        <a:prstGeom prst="rect">
          <a:avLst/>
        </a:prstGeom>
      </xdr:spPr>
    </xdr:pic>
    <xdr:clientData fPrintsWithSheet="0"/>
  </xdr:twoCellAnchor>
  <xdr:twoCellAnchor editAs="absolute">
    <xdr:from>
      <xdr:col>2</xdr:col>
      <xdr:colOff>114300</xdr:colOff>
      <xdr:row>11</xdr:row>
      <xdr:rowOff>154131</xdr:rowOff>
    </xdr:from>
    <xdr:to>
      <xdr:col>3</xdr:col>
      <xdr:colOff>136525</xdr:colOff>
      <xdr:row>15</xdr:row>
      <xdr:rowOff>166254</xdr:rowOff>
    </xdr:to>
    <xdr:pic macro="[0]!show_daily">
      <xdr:nvPicPr>
        <xdr:cNvPr id="77" name="PC-view_1" descr="outlook_calendar_day.png">
          <a:extLst>
            <a:ext uri="{FF2B5EF4-FFF2-40B4-BE49-F238E27FC236}">
              <a16:creationId xmlns:a16="http://schemas.microsoft.com/office/drawing/2014/main" id="{00000000-0008-0000-0000-00004D000000}"/>
            </a:ext>
          </a:extLst>
        </xdr:cNvPr>
        <xdr:cNvPicPr>
          <a:picLocks noChangeAspect="1"/>
        </xdr:cNvPicPr>
      </xdr:nvPicPr>
      <xdr:blipFill>
        <a:blip xmlns:r="http://schemas.openxmlformats.org/officeDocument/2006/relationships" r:embed="rId11"/>
        <a:stretch>
          <a:fillRect/>
        </a:stretch>
      </xdr:blipFill>
      <xdr:spPr>
        <a:xfrm>
          <a:off x="514350" y="1495425"/>
          <a:ext cx="298450" cy="323850"/>
        </a:xfrm>
        <a:prstGeom prst="rect">
          <a:avLst/>
        </a:prstGeom>
      </xdr:spPr>
    </xdr:pic>
    <xdr:clientData fPrintsWithSheet="0"/>
  </xdr:twoCellAnchor>
  <xdr:twoCellAnchor editAs="absolute">
    <xdr:from>
      <xdr:col>4</xdr:col>
      <xdr:colOff>200025</xdr:colOff>
      <xdr:row>12</xdr:row>
      <xdr:rowOff>9474</xdr:rowOff>
    </xdr:from>
    <xdr:to>
      <xdr:col>5</xdr:col>
      <xdr:colOff>222250</xdr:colOff>
      <xdr:row>15</xdr:row>
      <xdr:rowOff>166254</xdr:rowOff>
    </xdr:to>
    <xdr:pic macro="[0]!show_weekly">
      <xdr:nvPicPr>
        <xdr:cNvPr id="78" name="PC-view_2" descr="outlook_calendar_week.png">
          <a:extLst>
            <a:ext uri="{FF2B5EF4-FFF2-40B4-BE49-F238E27FC236}">
              <a16:creationId xmlns:a16="http://schemas.microsoft.com/office/drawing/2014/main" id="{00000000-0008-0000-0000-00004E000000}"/>
            </a:ext>
          </a:extLst>
        </xdr:cNvPr>
        <xdr:cNvPicPr>
          <a:picLocks noChangeAspect="1"/>
        </xdr:cNvPicPr>
      </xdr:nvPicPr>
      <xdr:blipFill>
        <a:blip xmlns:r="http://schemas.openxmlformats.org/officeDocument/2006/relationships" r:embed="rId12"/>
        <a:stretch>
          <a:fillRect/>
        </a:stretch>
      </xdr:blipFill>
      <xdr:spPr>
        <a:xfrm>
          <a:off x="1152525" y="1506631"/>
          <a:ext cx="298450" cy="312644"/>
        </a:xfrm>
        <a:prstGeom prst="rect">
          <a:avLst/>
        </a:prstGeom>
      </xdr:spPr>
    </xdr:pic>
    <xdr:clientData fPrintsWithSheet="0"/>
  </xdr:twoCellAnchor>
  <xdr:twoCellAnchor editAs="absolute">
    <xdr:from>
      <xdr:col>6</xdr:col>
      <xdr:colOff>266700</xdr:colOff>
      <xdr:row>11</xdr:row>
      <xdr:rowOff>154131</xdr:rowOff>
    </xdr:from>
    <xdr:to>
      <xdr:col>8</xdr:col>
      <xdr:colOff>12700</xdr:colOff>
      <xdr:row>15</xdr:row>
      <xdr:rowOff>178766</xdr:rowOff>
    </xdr:to>
    <xdr:pic macro="[0]!show_monthly">
      <xdr:nvPicPr>
        <xdr:cNvPr id="79" name="PC-view_3">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771650" y="1495425"/>
          <a:ext cx="298450" cy="336362"/>
        </a:xfrm>
        <a:prstGeom prst="rect">
          <a:avLst/>
        </a:prstGeom>
      </xdr:spPr>
    </xdr:pic>
    <xdr:clientData fPrintsWithSheet="0"/>
  </xdr:twoCellAnchor>
  <xdr:twoCellAnchor editAs="absolute">
    <xdr:from>
      <xdr:col>2</xdr:col>
      <xdr:colOff>188257</xdr:colOff>
      <xdr:row>10</xdr:row>
      <xdr:rowOff>15449</xdr:rowOff>
    </xdr:from>
    <xdr:to>
      <xdr:col>8</xdr:col>
      <xdr:colOff>28575</xdr:colOff>
      <xdr:row>11</xdr:row>
      <xdr:rowOff>60216</xdr:rowOff>
    </xdr:to>
    <xdr:sp macro="" textlink="">
      <xdr:nvSpPr>
        <xdr:cNvPr id="80" name="expand4_txt">
          <a:extLst>
            <a:ext uri="{FF2B5EF4-FFF2-40B4-BE49-F238E27FC236}">
              <a16:creationId xmlns:a16="http://schemas.microsoft.com/office/drawing/2014/main" id="{00000000-0008-0000-0000-000050000000}"/>
            </a:ext>
          </a:extLst>
        </xdr:cNvPr>
        <xdr:cNvSpPr txBox="1"/>
      </xdr:nvSpPr>
      <xdr:spPr>
        <a:xfrm>
          <a:off x="590424" y="1169032"/>
          <a:ext cx="1491318" cy="20351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Type de vue</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xdr:col>
      <xdr:colOff>161926</xdr:colOff>
      <xdr:row>15</xdr:row>
      <xdr:rowOff>140666</xdr:rowOff>
    </xdr:from>
    <xdr:to>
      <xdr:col>4</xdr:col>
      <xdr:colOff>44452</xdr:colOff>
      <xdr:row>16</xdr:row>
      <xdr:rowOff>0</xdr:rowOff>
    </xdr:to>
    <xdr:sp macro="[0]!show_daily" textlink="">
      <xdr:nvSpPr>
        <xdr:cNvPr id="81" name="view1_txt">
          <a:extLst>
            <a:ext uri="{FF2B5EF4-FFF2-40B4-BE49-F238E27FC236}">
              <a16:creationId xmlns:a16="http://schemas.microsoft.com/office/drawing/2014/main" id="{00000000-0008-0000-0000-000051000000}"/>
            </a:ext>
          </a:extLst>
        </xdr:cNvPr>
        <xdr:cNvSpPr txBox="1"/>
      </xdr:nvSpPr>
      <xdr:spPr>
        <a:xfrm>
          <a:off x="285751" y="1793687"/>
          <a:ext cx="711201" cy="21832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Quotidien</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3</xdr:col>
      <xdr:colOff>234950</xdr:colOff>
      <xdr:row>15</xdr:row>
      <xdr:rowOff>141243</xdr:rowOff>
    </xdr:from>
    <xdr:to>
      <xdr:col>6</xdr:col>
      <xdr:colOff>149225</xdr:colOff>
      <xdr:row>16</xdr:row>
      <xdr:rowOff>38031</xdr:rowOff>
    </xdr:to>
    <xdr:sp macro="[0]!show_weekly" textlink="">
      <xdr:nvSpPr>
        <xdr:cNvPr id="82" name="view2_txt">
          <a:extLst>
            <a:ext uri="{FF2B5EF4-FFF2-40B4-BE49-F238E27FC236}">
              <a16:creationId xmlns:a16="http://schemas.microsoft.com/office/drawing/2014/main" id="{00000000-0008-0000-0000-000052000000}"/>
            </a:ext>
          </a:extLst>
        </xdr:cNvPr>
        <xdr:cNvSpPr txBox="1"/>
      </xdr:nvSpPr>
      <xdr:spPr>
        <a:xfrm>
          <a:off x="911225" y="1794264"/>
          <a:ext cx="742950" cy="24315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Hebdo.</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6</xdr:col>
      <xdr:colOff>64605</xdr:colOff>
      <xdr:row>15</xdr:row>
      <xdr:rowOff>131141</xdr:rowOff>
    </xdr:from>
    <xdr:to>
      <xdr:col>8</xdr:col>
      <xdr:colOff>180975</xdr:colOff>
      <xdr:row>16</xdr:row>
      <xdr:rowOff>38031</xdr:rowOff>
    </xdr:to>
    <xdr:sp macro="[0]!show_monthly" textlink="">
      <xdr:nvSpPr>
        <xdr:cNvPr id="83" name="view3_txt">
          <a:extLst>
            <a:ext uri="{FF2B5EF4-FFF2-40B4-BE49-F238E27FC236}">
              <a16:creationId xmlns:a16="http://schemas.microsoft.com/office/drawing/2014/main" id="{00000000-0008-0000-0000-000053000000}"/>
            </a:ext>
          </a:extLst>
        </xdr:cNvPr>
        <xdr:cNvSpPr txBox="1"/>
      </xdr:nvSpPr>
      <xdr:spPr>
        <a:xfrm>
          <a:off x="1569555" y="1784162"/>
          <a:ext cx="668820" cy="25325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Mensuel</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143853</xdr:colOff>
      <xdr:row>11</xdr:row>
      <xdr:rowOff>154131</xdr:rowOff>
    </xdr:from>
    <xdr:to>
      <xdr:col>3</xdr:col>
      <xdr:colOff>100673</xdr:colOff>
      <xdr:row>15</xdr:row>
      <xdr:rowOff>151461</xdr:rowOff>
    </xdr:to>
    <xdr:pic macro="[0]!show_daily">
      <xdr:nvPicPr>
        <xdr:cNvPr id="84" name="mac-view_1" descr="outlook_calendar_day.png" hidden="1">
          <a:extLst>
            <a:ext uri="{FF2B5EF4-FFF2-40B4-BE49-F238E27FC236}">
              <a16:creationId xmlns:a16="http://schemas.microsoft.com/office/drawing/2014/main" id="{00000000-0008-0000-0000-000054000000}"/>
            </a:ext>
          </a:extLst>
        </xdr:cNvPr>
        <xdr:cNvPicPr>
          <a:picLocks/>
        </xdr:cNvPicPr>
      </xdr:nvPicPr>
      <xdr:blipFill>
        <a:blip xmlns:r="http://schemas.openxmlformats.org/officeDocument/2006/relationships" r:embed="rId11"/>
        <a:stretch>
          <a:fillRect/>
        </a:stretch>
      </xdr:blipFill>
      <xdr:spPr>
        <a:xfrm>
          <a:off x="543903" y="1495425"/>
          <a:ext cx="233045" cy="309057"/>
        </a:xfrm>
        <a:prstGeom prst="rect">
          <a:avLst/>
        </a:prstGeom>
      </xdr:spPr>
    </xdr:pic>
    <xdr:clientData fPrintsWithSheet="0"/>
  </xdr:twoCellAnchor>
  <xdr:twoCellAnchor editAs="absolute">
    <xdr:from>
      <xdr:col>4</xdr:col>
      <xdr:colOff>232753</xdr:colOff>
      <xdr:row>12</xdr:row>
      <xdr:rowOff>9474</xdr:rowOff>
    </xdr:from>
    <xdr:to>
      <xdr:col>5</xdr:col>
      <xdr:colOff>189573</xdr:colOff>
      <xdr:row>15</xdr:row>
      <xdr:rowOff>154636</xdr:rowOff>
    </xdr:to>
    <xdr:pic macro="[0]!show_weekly">
      <xdr:nvPicPr>
        <xdr:cNvPr id="85" name="mac-view_2" descr="outlook_calendar_week.png" hidden="1">
          <a:extLst>
            <a:ext uri="{FF2B5EF4-FFF2-40B4-BE49-F238E27FC236}">
              <a16:creationId xmlns:a16="http://schemas.microsoft.com/office/drawing/2014/main" id="{00000000-0008-0000-0000-000055000000}"/>
            </a:ext>
          </a:extLst>
        </xdr:cNvPr>
        <xdr:cNvPicPr>
          <a:picLocks/>
        </xdr:cNvPicPr>
      </xdr:nvPicPr>
      <xdr:blipFill>
        <a:blip xmlns:r="http://schemas.openxmlformats.org/officeDocument/2006/relationships" r:embed="rId12"/>
        <a:stretch>
          <a:fillRect/>
        </a:stretch>
      </xdr:blipFill>
      <xdr:spPr>
        <a:xfrm>
          <a:off x="1185253" y="1506631"/>
          <a:ext cx="233045" cy="301026"/>
        </a:xfrm>
        <a:prstGeom prst="rect">
          <a:avLst/>
        </a:prstGeom>
      </xdr:spPr>
    </xdr:pic>
    <xdr:clientData fPrintsWithSheet="0"/>
  </xdr:twoCellAnchor>
  <xdr:twoCellAnchor editAs="absolute">
    <xdr:from>
      <xdr:col>7</xdr:col>
      <xdr:colOff>29553</xdr:colOff>
      <xdr:row>12</xdr:row>
      <xdr:rowOff>9474</xdr:rowOff>
    </xdr:from>
    <xdr:to>
      <xdr:col>8</xdr:col>
      <xdr:colOff>3155</xdr:colOff>
      <xdr:row>15</xdr:row>
      <xdr:rowOff>156729</xdr:rowOff>
    </xdr:to>
    <xdr:pic macro="[0]!show_monthly">
      <xdr:nvPicPr>
        <xdr:cNvPr id="86" name="mac-view_3" hidden="1">
          <a:extLst>
            <a:ext uri="{FF2B5EF4-FFF2-40B4-BE49-F238E27FC236}">
              <a16:creationId xmlns:a16="http://schemas.microsoft.com/office/drawing/2014/main" id="{00000000-0008-0000-0000-00005600000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10728" y="1506631"/>
          <a:ext cx="249827" cy="303119"/>
        </a:xfrm>
        <a:prstGeom prst="rect">
          <a:avLst/>
        </a:prstGeom>
      </xdr:spPr>
    </xdr:pic>
    <xdr:clientData fPrintsWithSheet="0"/>
  </xdr:twoCellAnchor>
  <xdr:twoCellAnchor editAs="absolute">
    <xdr:from>
      <xdr:col>1</xdr:col>
      <xdr:colOff>28574</xdr:colOff>
      <xdr:row>78</xdr:row>
      <xdr:rowOff>22790</xdr:rowOff>
    </xdr:from>
    <xdr:to>
      <xdr:col>8</xdr:col>
      <xdr:colOff>361949</xdr:colOff>
      <xdr:row>86</xdr:row>
      <xdr:rowOff>5292</xdr:rowOff>
    </xdr:to>
    <xdr:sp macro="" textlink="">
      <xdr:nvSpPr>
        <xdr:cNvPr id="87" name="frome44">
          <a:extLst>
            <a:ext uri="{FF2B5EF4-FFF2-40B4-BE49-F238E27FC236}">
              <a16:creationId xmlns:a16="http://schemas.microsoft.com/office/drawing/2014/main" id="{00000000-0008-0000-0000-000057000000}"/>
            </a:ext>
          </a:extLst>
        </xdr:cNvPr>
        <xdr:cNvSpPr/>
      </xdr:nvSpPr>
      <xdr:spPr>
        <a:xfrm>
          <a:off x="152399" y="11101713"/>
          <a:ext cx="2266950" cy="1280788"/>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95250</xdr:colOff>
      <xdr:row>78</xdr:row>
      <xdr:rowOff>76634</xdr:rowOff>
    </xdr:from>
    <xdr:to>
      <xdr:col>2</xdr:col>
      <xdr:colOff>117475</xdr:colOff>
      <xdr:row>80</xdr:row>
      <xdr:rowOff>67670</xdr:rowOff>
    </xdr:to>
    <xdr:pic>
      <xdr:nvPicPr>
        <xdr:cNvPr id="88" name="PC-languages" descr="locate.png">
          <a:extLst>
            <a:ext uri="{FF2B5EF4-FFF2-40B4-BE49-F238E27FC236}">
              <a16:creationId xmlns:a16="http://schemas.microsoft.com/office/drawing/2014/main" id="{00000000-0008-0000-0000-000058000000}"/>
            </a:ext>
          </a:extLst>
        </xdr:cNvPr>
        <xdr:cNvPicPr>
          <a:picLocks noChangeAspect="1"/>
        </xdr:cNvPicPr>
      </xdr:nvPicPr>
      <xdr:blipFill>
        <a:blip xmlns:r="http://schemas.openxmlformats.org/officeDocument/2006/relationships" r:embed="rId14"/>
        <a:stretch>
          <a:fillRect/>
        </a:stretch>
      </xdr:blipFill>
      <xdr:spPr>
        <a:xfrm>
          <a:off x="219075" y="11161618"/>
          <a:ext cx="298450" cy="314886"/>
        </a:xfrm>
        <a:prstGeom prst="rect">
          <a:avLst/>
        </a:prstGeom>
      </xdr:spPr>
    </xdr:pic>
    <xdr:clientData fPrintsWithSheet="0"/>
  </xdr:twoCellAnchor>
  <xdr:twoCellAnchor editAs="absolute">
    <xdr:from>
      <xdr:col>2</xdr:col>
      <xdr:colOff>222249</xdr:colOff>
      <xdr:row>78</xdr:row>
      <xdr:rowOff>80248</xdr:rowOff>
    </xdr:from>
    <xdr:to>
      <xdr:col>6</xdr:col>
      <xdr:colOff>219075</xdr:colOff>
      <xdr:row>80</xdr:row>
      <xdr:rowOff>16865</xdr:rowOff>
    </xdr:to>
    <xdr:sp macro="" textlink="">
      <xdr:nvSpPr>
        <xdr:cNvPr id="89" name="menu_txt5">
          <a:extLst>
            <a:ext uri="{FF2B5EF4-FFF2-40B4-BE49-F238E27FC236}">
              <a16:creationId xmlns:a16="http://schemas.microsoft.com/office/drawing/2014/main" id="{00000000-0008-0000-0000-000059000000}"/>
            </a:ext>
          </a:extLst>
        </xdr:cNvPr>
        <xdr:cNvSpPr txBox="1"/>
      </xdr:nvSpPr>
      <xdr:spPr>
        <a:xfrm>
          <a:off x="622299" y="11165232"/>
          <a:ext cx="1101726" cy="2572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t">
          <a:noAutofit/>
        </a:bodyPr>
        <a:lstStyle/>
        <a:p>
          <a:pPr algn="l"/>
          <a:r>
            <a:rPr kumimoji="1" lang="en-US" altLang="ja-JP" sz="1400" b="0">
              <a:solidFill>
                <a:schemeClr val="bg1"/>
              </a:solidFill>
              <a:latin typeface="Franklin Gothic Medium" panose="020B0603020102020204" pitchFamily="34" charset="0"/>
            </a:rPr>
            <a:t>Langue</a:t>
          </a:r>
          <a:endParaRPr kumimoji="1" lang="ja-JP" altLang="en-US" sz="1100" b="0">
            <a:solidFill>
              <a:schemeClr val="bg1"/>
            </a:solidFill>
            <a:latin typeface="Franklin Gothic Medium" panose="020B0603020102020204" pitchFamily="34" charset="0"/>
          </a:endParaRPr>
        </a:p>
      </xdr:txBody>
    </xdr:sp>
    <xdr:clientData fPrintsWithSheet="0"/>
  </xdr:twoCellAnchor>
  <xdr:twoCellAnchor editAs="absolute">
    <xdr:from>
      <xdr:col>2</xdr:col>
      <xdr:colOff>215900</xdr:colOff>
      <xdr:row>80</xdr:row>
      <xdr:rowOff>129303</xdr:rowOff>
    </xdr:from>
    <xdr:to>
      <xdr:col>3</xdr:col>
      <xdr:colOff>257175</xdr:colOff>
      <xdr:row>82</xdr:row>
      <xdr:rowOff>110253</xdr:rowOff>
    </xdr:to>
    <xdr:pic macro="[0]!Translate_English">
      <xdr:nvPicPr>
        <xdr:cNvPr id="90" name="PC-lang_img1" descr="flag_great_britain.png">
          <a:extLst>
            <a:ext uri="{FF2B5EF4-FFF2-40B4-BE49-F238E27FC236}">
              <a16:creationId xmlns:a16="http://schemas.microsoft.com/office/drawing/2014/main" id="{00000000-0008-0000-0000-00005A000000}"/>
            </a:ext>
          </a:extLst>
        </xdr:cNvPr>
        <xdr:cNvPicPr>
          <a:picLocks noChangeAspect="1"/>
        </xdr:cNvPicPr>
      </xdr:nvPicPr>
      <xdr:blipFill>
        <a:blip xmlns:r="http://schemas.openxmlformats.org/officeDocument/2006/relationships" r:embed="rId15"/>
        <a:stretch>
          <a:fillRect/>
        </a:stretch>
      </xdr:blipFill>
      <xdr:spPr>
        <a:xfrm>
          <a:off x="615950" y="11538137"/>
          <a:ext cx="317500" cy="304800"/>
        </a:xfrm>
        <a:prstGeom prst="rect">
          <a:avLst/>
        </a:prstGeom>
      </xdr:spPr>
    </xdr:pic>
    <xdr:clientData fPrintsWithSheet="0"/>
  </xdr:twoCellAnchor>
  <xdr:twoCellAnchor editAs="absolute">
    <xdr:from>
      <xdr:col>4</xdr:col>
      <xdr:colOff>196850</xdr:colOff>
      <xdr:row>80</xdr:row>
      <xdr:rowOff>118046</xdr:rowOff>
    </xdr:from>
    <xdr:to>
      <xdr:col>5</xdr:col>
      <xdr:colOff>238125</xdr:colOff>
      <xdr:row>82</xdr:row>
      <xdr:rowOff>100728</xdr:rowOff>
    </xdr:to>
    <xdr:pic macro="[0]!Translate_French">
      <xdr:nvPicPr>
        <xdr:cNvPr id="91" name="PC-lang_img2" descr="flag_france.png">
          <a:extLst>
            <a:ext uri="{FF2B5EF4-FFF2-40B4-BE49-F238E27FC236}">
              <a16:creationId xmlns:a16="http://schemas.microsoft.com/office/drawing/2014/main" id="{00000000-0008-0000-0000-00005B000000}"/>
            </a:ext>
          </a:extLst>
        </xdr:cNvPr>
        <xdr:cNvPicPr>
          <a:picLocks noChangeAspect="1"/>
        </xdr:cNvPicPr>
      </xdr:nvPicPr>
      <xdr:blipFill>
        <a:blip xmlns:r="http://schemas.openxmlformats.org/officeDocument/2006/relationships" r:embed="rId16"/>
        <a:stretch>
          <a:fillRect/>
        </a:stretch>
      </xdr:blipFill>
      <xdr:spPr>
        <a:xfrm>
          <a:off x="1149350" y="11526880"/>
          <a:ext cx="317500" cy="306532"/>
        </a:xfrm>
        <a:prstGeom prst="rect">
          <a:avLst/>
        </a:prstGeom>
      </xdr:spPr>
    </xdr:pic>
    <xdr:clientData fPrintsWithSheet="0"/>
  </xdr:twoCellAnchor>
  <xdr:twoCellAnchor editAs="absolute">
    <xdr:from>
      <xdr:col>6</xdr:col>
      <xdr:colOff>225425</xdr:colOff>
      <xdr:row>80</xdr:row>
      <xdr:rowOff>129303</xdr:rowOff>
    </xdr:from>
    <xdr:to>
      <xdr:col>7</xdr:col>
      <xdr:colOff>266700</xdr:colOff>
      <xdr:row>82</xdr:row>
      <xdr:rowOff>110253</xdr:rowOff>
    </xdr:to>
    <xdr:pic macro="[0]!Translate_Spanish">
      <xdr:nvPicPr>
        <xdr:cNvPr id="92" name="PC-lang_img3" descr="flag_spain.png">
          <a:extLst>
            <a:ext uri="{FF2B5EF4-FFF2-40B4-BE49-F238E27FC236}">
              <a16:creationId xmlns:a16="http://schemas.microsoft.com/office/drawing/2014/main" id="{00000000-0008-0000-0000-00005C000000}"/>
            </a:ext>
          </a:extLst>
        </xdr:cNvPr>
        <xdr:cNvPicPr>
          <a:picLocks noChangeAspect="1"/>
        </xdr:cNvPicPr>
      </xdr:nvPicPr>
      <xdr:blipFill>
        <a:blip xmlns:r="http://schemas.openxmlformats.org/officeDocument/2006/relationships" r:embed="rId17"/>
        <a:stretch>
          <a:fillRect/>
        </a:stretch>
      </xdr:blipFill>
      <xdr:spPr>
        <a:xfrm>
          <a:off x="1730375" y="11538137"/>
          <a:ext cx="317500" cy="304800"/>
        </a:xfrm>
        <a:prstGeom prst="rect">
          <a:avLst/>
        </a:prstGeom>
      </xdr:spPr>
    </xdr:pic>
    <xdr:clientData fPrintsWithSheet="0"/>
  </xdr:twoCellAnchor>
  <xdr:twoCellAnchor editAs="absolute">
    <xdr:from>
      <xdr:col>2</xdr:col>
      <xdr:colOff>225425</xdr:colOff>
      <xdr:row>83</xdr:row>
      <xdr:rowOff>24239</xdr:rowOff>
    </xdr:from>
    <xdr:to>
      <xdr:col>4</xdr:col>
      <xdr:colOff>0</xdr:colOff>
      <xdr:row>85</xdr:row>
      <xdr:rowOff>4420</xdr:rowOff>
    </xdr:to>
    <xdr:pic macro="[0]!Translate_German">
      <xdr:nvPicPr>
        <xdr:cNvPr id="93" name="PC-lang_img4" descr="flag_germany.png">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18"/>
        <a:stretch>
          <a:fillRect/>
        </a:stretch>
      </xdr:blipFill>
      <xdr:spPr>
        <a:xfrm>
          <a:off x="625475" y="11912787"/>
          <a:ext cx="327025" cy="306917"/>
        </a:xfrm>
        <a:prstGeom prst="rect">
          <a:avLst/>
        </a:prstGeom>
      </xdr:spPr>
    </xdr:pic>
    <xdr:clientData fPrintsWithSheet="0"/>
  </xdr:twoCellAnchor>
  <xdr:twoCellAnchor editAs="absolute">
    <xdr:from>
      <xdr:col>1</xdr:col>
      <xdr:colOff>103927</xdr:colOff>
      <xdr:row>78</xdr:row>
      <xdr:rowOff>72963</xdr:rowOff>
    </xdr:from>
    <xdr:to>
      <xdr:col>2</xdr:col>
      <xdr:colOff>104077</xdr:colOff>
      <xdr:row>80</xdr:row>
      <xdr:rowOff>79828</xdr:rowOff>
    </xdr:to>
    <xdr:pic>
      <xdr:nvPicPr>
        <xdr:cNvPr id="94" name="mac-languages" descr="locate.png" hidden="1">
          <a:extLst>
            <a:ext uri="{FF2B5EF4-FFF2-40B4-BE49-F238E27FC236}">
              <a16:creationId xmlns:a16="http://schemas.microsoft.com/office/drawing/2014/main" id="{00000000-0008-0000-0000-00005E000000}"/>
            </a:ext>
          </a:extLst>
        </xdr:cNvPr>
        <xdr:cNvPicPr>
          <a:picLocks/>
        </xdr:cNvPicPr>
      </xdr:nvPicPr>
      <xdr:blipFill>
        <a:blip xmlns:r="http://schemas.openxmlformats.org/officeDocument/2006/relationships" r:embed="rId14"/>
        <a:stretch>
          <a:fillRect/>
        </a:stretch>
      </xdr:blipFill>
      <xdr:spPr>
        <a:xfrm>
          <a:off x="227752" y="11157947"/>
          <a:ext cx="276375" cy="330715"/>
        </a:xfrm>
        <a:prstGeom prst="rect">
          <a:avLst/>
        </a:prstGeom>
      </xdr:spPr>
    </xdr:pic>
    <xdr:clientData fPrintsWithSheet="0"/>
  </xdr:twoCellAnchor>
  <xdr:twoCellAnchor editAs="absolute">
    <xdr:from>
      <xdr:col>1</xdr:col>
      <xdr:colOff>55244</xdr:colOff>
      <xdr:row>61</xdr:row>
      <xdr:rowOff>51566</xdr:rowOff>
    </xdr:from>
    <xdr:to>
      <xdr:col>2</xdr:col>
      <xdr:colOff>103504</xdr:colOff>
      <xdr:row>63</xdr:row>
      <xdr:rowOff>117009</xdr:rowOff>
    </xdr:to>
    <xdr:pic>
      <xdr:nvPicPr>
        <xdr:cNvPr id="95" name="mac-weeksymbol" descr="calendar,view,day,date,schedule" hidden="1">
          <a:extLst>
            <a:ext uri="{FF2B5EF4-FFF2-40B4-BE49-F238E27FC236}">
              <a16:creationId xmlns:a16="http://schemas.microsoft.com/office/drawing/2014/main" id="{00000000-0008-0000-0000-00005F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79069" y="8383825"/>
          <a:ext cx="324485" cy="389293"/>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xdr:col>
      <xdr:colOff>44448</xdr:colOff>
      <xdr:row>17</xdr:row>
      <xdr:rowOff>10391</xdr:rowOff>
    </xdr:from>
    <xdr:to>
      <xdr:col>2</xdr:col>
      <xdr:colOff>92708</xdr:colOff>
      <xdr:row>23</xdr:row>
      <xdr:rowOff>40784</xdr:rowOff>
    </xdr:to>
    <xdr:pic>
      <xdr:nvPicPr>
        <xdr:cNvPr id="96" name="mac-start" descr="date_go.png" hidden="1">
          <a:extLst>
            <a:ext uri="{FF2B5EF4-FFF2-40B4-BE49-F238E27FC236}">
              <a16:creationId xmlns:a16="http://schemas.microsoft.com/office/drawing/2014/main" id="{00000000-0008-0000-0000-000060000000}"/>
            </a:ext>
          </a:extLst>
        </xdr:cNvPr>
        <xdr:cNvPicPr preferRelativeResize="0">
          <a:picLocks/>
        </xdr:cNvPicPr>
      </xdr:nvPicPr>
      <xdr:blipFill>
        <a:blip xmlns:r="http://schemas.openxmlformats.org/officeDocument/2006/relationships" r:embed="rId7"/>
        <a:stretch>
          <a:fillRect/>
        </a:stretch>
      </xdr:blipFill>
      <xdr:spPr>
        <a:xfrm>
          <a:off x="168273" y="2181225"/>
          <a:ext cx="324485" cy="392343"/>
        </a:xfrm>
        <a:prstGeom prst="rect">
          <a:avLst/>
        </a:prstGeom>
      </xdr:spPr>
    </xdr:pic>
    <xdr:clientData fPrintsWithSheet="0"/>
  </xdr:twoCellAnchor>
  <xdr:twoCellAnchor editAs="absolute">
    <xdr:from>
      <xdr:col>1</xdr:col>
      <xdr:colOff>73873</xdr:colOff>
      <xdr:row>10</xdr:row>
      <xdr:rowOff>18254</xdr:rowOff>
    </xdr:from>
    <xdr:to>
      <xdr:col>2</xdr:col>
      <xdr:colOff>76413</xdr:colOff>
      <xdr:row>12</xdr:row>
      <xdr:rowOff>75872</xdr:rowOff>
    </xdr:to>
    <xdr:pic>
      <xdr:nvPicPr>
        <xdr:cNvPr id="97" name="mac-view" descr="monitor_edit.png" hidden="1">
          <a:extLst>
            <a:ext uri="{FF2B5EF4-FFF2-40B4-BE49-F238E27FC236}">
              <a16:creationId xmlns:a16="http://schemas.microsoft.com/office/drawing/2014/main" id="{00000000-0008-0000-0000-000061000000}"/>
            </a:ext>
          </a:extLst>
        </xdr:cNvPr>
        <xdr:cNvPicPr>
          <a:picLocks noChangeAspect="1"/>
        </xdr:cNvPicPr>
      </xdr:nvPicPr>
      <xdr:blipFill>
        <a:blip xmlns:r="http://schemas.openxmlformats.org/officeDocument/2006/relationships" r:embed="rId10"/>
        <a:stretch>
          <a:fillRect/>
        </a:stretch>
      </xdr:blipFill>
      <xdr:spPr>
        <a:xfrm>
          <a:off x="197698" y="1203684"/>
          <a:ext cx="278765" cy="369345"/>
        </a:xfrm>
        <a:prstGeom prst="rect">
          <a:avLst/>
        </a:prstGeom>
      </xdr:spPr>
    </xdr:pic>
    <xdr:clientData fPrintsWithSheet="0"/>
  </xdr:twoCellAnchor>
  <xdr:twoCellAnchor editAs="absolute">
    <xdr:from>
      <xdr:col>2</xdr:col>
      <xdr:colOff>114299</xdr:colOff>
      <xdr:row>81</xdr:row>
      <xdr:rowOff>186</xdr:rowOff>
    </xdr:from>
    <xdr:to>
      <xdr:col>3</xdr:col>
      <xdr:colOff>162559</xdr:colOff>
      <xdr:row>83</xdr:row>
      <xdr:rowOff>61961</xdr:rowOff>
    </xdr:to>
    <xdr:pic macro="[0]!Translate_English">
      <xdr:nvPicPr>
        <xdr:cNvPr id="98" name="mac-lang_img1" descr="flag_great_britain.png" hidden="1">
          <a:extLst>
            <a:ext uri="{FF2B5EF4-FFF2-40B4-BE49-F238E27FC236}">
              <a16:creationId xmlns:a16="http://schemas.microsoft.com/office/drawing/2014/main" id="{00000000-0008-0000-0000-000062000000}"/>
            </a:ext>
          </a:extLst>
        </xdr:cNvPr>
        <xdr:cNvPicPr>
          <a:picLocks/>
        </xdr:cNvPicPr>
      </xdr:nvPicPr>
      <xdr:blipFill>
        <a:blip xmlns:r="http://schemas.openxmlformats.org/officeDocument/2006/relationships" r:embed="rId15"/>
        <a:stretch>
          <a:fillRect/>
        </a:stretch>
      </xdr:blipFill>
      <xdr:spPr>
        <a:xfrm>
          <a:off x="514349" y="11567770"/>
          <a:ext cx="324485" cy="388800"/>
        </a:xfrm>
        <a:prstGeom prst="rect">
          <a:avLst/>
        </a:prstGeom>
      </xdr:spPr>
    </xdr:pic>
    <xdr:clientData fPrintsWithSheet="0"/>
  </xdr:twoCellAnchor>
  <xdr:twoCellAnchor editAs="absolute">
    <xdr:from>
      <xdr:col>5</xdr:col>
      <xdr:colOff>206373</xdr:colOff>
      <xdr:row>80</xdr:row>
      <xdr:rowOff>148433</xdr:rowOff>
    </xdr:from>
    <xdr:to>
      <xdr:col>6</xdr:col>
      <xdr:colOff>254633</xdr:colOff>
      <xdr:row>83</xdr:row>
      <xdr:rowOff>51458</xdr:rowOff>
    </xdr:to>
    <xdr:pic macro="[0]!Translate_Spanish">
      <xdr:nvPicPr>
        <xdr:cNvPr id="99" name="mac-lang_img3" descr="flag_spain.png" hidden="1">
          <a:extLst>
            <a:ext uri="{FF2B5EF4-FFF2-40B4-BE49-F238E27FC236}">
              <a16:creationId xmlns:a16="http://schemas.microsoft.com/office/drawing/2014/main" id="{00000000-0008-0000-0000-000063000000}"/>
            </a:ext>
          </a:extLst>
        </xdr:cNvPr>
        <xdr:cNvPicPr>
          <a:picLocks/>
        </xdr:cNvPicPr>
      </xdr:nvPicPr>
      <xdr:blipFill>
        <a:blip xmlns:r="http://schemas.openxmlformats.org/officeDocument/2006/relationships" r:embed="rId17"/>
        <a:stretch>
          <a:fillRect/>
        </a:stretch>
      </xdr:blipFill>
      <xdr:spPr>
        <a:xfrm>
          <a:off x="1435098" y="11557267"/>
          <a:ext cx="324485" cy="388800"/>
        </a:xfrm>
        <a:prstGeom prst="rect">
          <a:avLst/>
        </a:prstGeom>
      </xdr:spPr>
    </xdr:pic>
    <xdr:clientData fPrintsWithSheet="0"/>
  </xdr:twoCellAnchor>
  <xdr:twoCellAnchor editAs="absolute">
    <xdr:from>
      <xdr:col>2</xdr:col>
      <xdr:colOff>104774</xdr:colOff>
      <xdr:row>83</xdr:row>
      <xdr:rowOff>68977</xdr:rowOff>
    </xdr:from>
    <xdr:to>
      <xdr:col>3</xdr:col>
      <xdr:colOff>152549</xdr:colOff>
      <xdr:row>85</xdr:row>
      <xdr:rowOff>133927</xdr:rowOff>
    </xdr:to>
    <xdr:pic macro="[0]!Translate_German">
      <xdr:nvPicPr>
        <xdr:cNvPr id="100" name="mac-lang_img4" descr="flag_germany.png" hidden="1">
          <a:extLst>
            <a:ext uri="{FF2B5EF4-FFF2-40B4-BE49-F238E27FC236}">
              <a16:creationId xmlns:a16="http://schemas.microsoft.com/office/drawing/2014/main" id="{00000000-0008-0000-0000-000064000000}"/>
            </a:ext>
          </a:extLst>
        </xdr:cNvPr>
        <xdr:cNvPicPr>
          <a:picLocks/>
        </xdr:cNvPicPr>
      </xdr:nvPicPr>
      <xdr:blipFill>
        <a:blip xmlns:r="http://schemas.openxmlformats.org/officeDocument/2006/relationships" r:embed="rId18"/>
        <a:stretch>
          <a:fillRect/>
        </a:stretch>
      </xdr:blipFill>
      <xdr:spPr>
        <a:xfrm>
          <a:off x="504824" y="11963586"/>
          <a:ext cx="324000" cy="388800"/>
        </a:xfrm>
        <a:prstGeom prst="rect">
          <a:avLst/>
        </a:prstGeom>
      </xdr:spPr>
    </xdr:pic>
    <xdr:clientData fPrintsWithSheet="0"/>
  </xdr:twoCellAnchor>
  <xdr:twoCellAnchor editAs="absolute">
    <xdr:from>
      <xdr:col>4</xdr:col>
      <xdr:colOff>0</xdr:colOff>
      <xdr:row>80</xdr:row>
      <xdr:rowOff>146887</xdr:rowOff>
    </xdr:from>
    <xdr:to>
      <xdr:col>5</xdr:col>
      <xdr:colOff>47775</xdr:colOff>
      <xdr:row>83</xdr:row>
      <xdr:rowOff>50965</xdr:rowOff>
    </xdr:to>
    <xdr:pic macro="[0]!Translate_French">
      <xdr:nvPicPr>
        <xdr:cNvPr id="101" name="mac-lang_img2" descr="flag_france.png" hidden="1">
          <a:extLst>
            <a:ext uri="{FF2B5EF4-FFF2-40B4-BE49-F238E27FC236}">
              <a16:creationId xmlns:a16="http://schemas.microsoft.com/office/drawing/2014/main" id="{00000000-0008-0000-0000-000065000000}"/>
            </a:ext>
          </a:extLst>
        </xdr:cNvPr>
        <xdr:cNvPicPr>
          <a:picLocks/>
        </xdr:cNvPicPr>
      </xdr:nvPicPr>
      <xdr:blipFill>
        <a:blip xmlns:r="http://schemas.openxmlformats.org/officeDocument/2006/relationships" r:embed="rId16"/>
        <a:stretch>
          <a:fillRect/>
        </a:stretch>
      </xdr:blipFill>
      <xdr:spPr>
        <a:xfrm>
          <a:off x="952500" y="11555721"/>
          <a:ext cx="324000" cy="389853"/>
        </a:xfrm>
        <a:prstGeom prst="rect">
          <a:avLst/>
        </a:prstGeom>
      </xdr:spPr>
    </xdr:pic>
    <xdr:clientData fPrintsWithSheet="0"/>
  </xdr:twoCellAnchor>
  <xdr:twoCellAnchor editAs="absolute">
    <xdr:from>
      <xdr:col>0</xdr:col>
      <xdr:colOff>0</xdr:colOff>
      <xdr:row>0</xdr:row>
      <xdr:rowOff>0</xdr:rowOff>
    </xdr:from>
    <xdr:to>
      <xdr:col>523</xdr:col>
      <xdr:colOff>76473</xdr:colOff>
      <xdr:row>164</xdr:row>
      <xdr:rowOff>28888</xdr:rowOff>
    </xdr:to>
    <xdr:sp macro="" textlink="">
      <xdr:nvSpPr>
        <xdr:cNvPr id="102" name="get_pro_bg" hidden="1">
          <a:extLst>
            <a:ext uri="{FF2B5EF4-FFF2-40B4-BE49-F238E27FC236}">
              <a16:creationId xmlns:a16="http://schemas.microsoft.com/office/drawing/2014/main" id="{00000000-0008-0000-0000-000066000000}"/>
            </a:ext>
          </a:extLst>
        </xdr:cNvPr>
        <xdr:cNvSpPr/>
      </xdr:nvSpPr>
      <xdr:spPr>
        <a:xfrm>
          <a:off x="0" y="0"/>
          <a:ext cx="89636519" cy="25039422"/>
        </a:xfrm>
        <a:prstGeom prst="rect">
          <a:avLst/>
        </a:prstGeom>
        <a:blipFill dpi="0" rotWithShape="1">
          <a:blip xmlns:r="http://schemas.openxmlformats.org/officeDocument/2006/relationships" r:embed="rId19"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12</xdr:col>
      <xdr:colOff>223126</xdr:colOff>
      <xdr:row>10</xdr:row>
      <xdr:rowOff>129486</xdr:rowOff>
    </xdr:from>
    <xdr:to>
      <xdr:col>24</xdr:col>
      <xdr:colOff>420038</xdr:colOff>
      <xdr:row>15</xdr:row>
      <xdr:rowOff>51954</xdr:rowOff>
    </xdr:to>
    <xdr:sp macro="" textlink="" fLocksText="0">
      <xdr:nvSpPr>
        <xdr:cNvPr id="103" name="Gantt_Title2">
          <a:extLst>
            <a:ext uri="{FF2B5EF4-FFF2-40B4-BE49-F238E27FC236}">
              <a16:creationId xmlns:a16="http://schemas.microsoft.com/office/drawing/2014/main" id="{00000000-0008-0000-0000-000067000000}"/>
            </a:ext>
          </a:extLst>
        </xdr:cNvPr>
        <xdr:cNvSpPr txBox="1"/>
      </xdr:nvSpPr>
      <xdr:spPr>
        <a:xfrm>
          <a:off x="3480676" y="1314916"/>
          <a:ext cx="3449171" cy="39005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800" b="0" cap="none" spc="0">
              <a:ln>
                <a:noFill/>
              </a:ln>
              <a:solidFill>
                <a:schemeClr val="tx1"/>
              </a:solidFill>
              <a:effectLst/>
              <a:latin typeface="Franklin Gothic Medium" panose="020B0603020102020204" pitchFamily="34" charset="0"/>
              <a:ea typeface="Arial Unicode MS" panose="020B0604020202020204" pitchFamily="50" charset="-128"/>
              <a:cs typeface="Arial" panose="020B0604020202020204" pitchFamily="34" charset="0"/>
            </a:rPr>
            <a:t>Planning</a:t>
          </a:r>
          <a:r>
            <a:rPr kumimoji="1" lang="en-US" altLang="ja-JP" sz="1800" b="0" cap="none" spc="0" baseline="0">
              <a:ln>
                <a:noFill/>
              </a:ln>
              <a:solidFill>
                <a:schemeClr val="tx1"/>
              </a:solidFill>
              <a:effectLst/>
              <a:latin typeface="Franklin Gothic Medium" panose="020B0603020102020204" pitchFamily="34" charset="0"/>
              <a:ea typeface="Arial Unicode MS" panose="020B0604020202020204" pitchFamily="50" charset="-128"/>
              <a:cs typeface="Arial" panose="020B0604020202020204" pitchFamily="34" charset="0"/>
            </a:rPr>
            <a:t> de Gantt</a:t>
          </a:r>
          <a:endParaRPr kumimoji="1" lang="ja-JP" altLang="en-US" sz="1800" b="0" cap="none" spc="0">
            <a:ln>
              <a:noFill/>
            </a:ln>
            <a:solidFill>
              <a:schemeClr val="tx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LocksWithSheet="0"/>
  </xdr:twoCellAnchor>
  <xdr:twoCellAnchor editAs="absolute">
    <xdr:from>
      <xdr:col>9</xdr:col>
      <xdr:colOff>0</xdr:colOff>
      <xdr:row>9</xdr:row>
      <xdr:rowOff>142874</xdr:rowOff>
    </xdr:from>
    <xdr:to>
      <xdr:col>24</xdr:col>
      <xdr:colOff>289361</xdr:colOff>
      <xdr:row>30</xdr:row>
      <xdr:rowOff>25660</xdr:rowOff>
    </xdr:to>
    <xdr:sp macro="" textlink="">
      <xdr:nvSpPr>
        <xdr:cNvPr id="104" name="get_pro_img3" hidden="1">
          <a:extLst>
            <a:ext uri="{FF2B5EF4-FFF2-40B4-BE49-F238E27FC236}">
              <a16:creationId xmlns:a16="http://schemas.microsoft.com/office/drawing/2014/main" id="{00000000-0008-0000-0000-000068000000}"/>
            </a:ext>
          </a:extLst>
        </xdr:cNvPr>
        <xdr:cNvSpPr/>
      </xdr:nvSpPr>
      <xdr:spPr>
        <a:xfrm>
          <a:off x="2638425" y="1114424"/>
          <a:ext cx="4160745" cy="2493309"/>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180975</xdr:colOff>
      <xdr:row>9</xdr:row>
      <xdr:rowOff>184904</xdr:rowOff>
    </xdr:from>
    <xdr:to>
      <xdr:col>24</xdr:col>
      <xdr:colOff>119031</xdr:colOff>
      <xdr:row>11</xdr:row>
      <xdr:rowOff>124707</xdr:rowOff>
    </xdr:to>
    <xdr:sp macro="" textlink="">
      <xdr:nvSpPr>
        <xdr:cNvPr id="105" name="get_pro_txt1" hidden="1">
          <a:extLst>
            <a:ext uri="{FF2B5EF4-FFF2-40B4-BE49-F238E27FC236}">
              <a16:creationId xmlns:a16="http://schemas.microsoft.com/office/drawing/2014/main" id="{00000000-0008-0000-0000-000069000000}"/>
            </a:ext>
          </a:extLst>
        </xdr:cNvPr>
        <xdr:cNvSpPr txBox="1"/>
      </xdr:nvSpPr>
      <xdr:spPr>
        <a:xfrm>
          <a:off x="2819400" y="1175216"/>
          <a:ext cx="3809440" cy="29078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Version Gratuite</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18</xdr:col>
      <xdr:colOff>223495</xdr:colOff>
      <xdr:row>28</xdr:row>
      <xdr:rowOff>71940</xdr:rowOff>
    </xdr:from>
    <xdr:to>
      <xdr:col>24</xdr:col>
      <xdr:colOff>223401</xdr:colOff>
      <xdr:row>29</xdr:row>
      <xdr:rowOff>98244</xdr:rowOff>
    </xdr:to>
    <xdr:sp macro="[0]!Show_Hide_Get_Pro" textlink="">
      <xdr:nvSpPr>
        <xdr:cNvPr id="106" name="get_pro_txt5" hidden="1">
          <a:extLst>
            <a:ext uri="{FF2B5EF4-FFF2-40B4-BE49-F238E27FC236}">
              <a16:creationId xmlns:a16="http://schemas.microsoft.com/office/drawing/2014/main" id="{00000000-0008-0000-0000-00006A000000}"/>
            </a:ext>
          </a:extLst>
        </xdr:cNvPr>
        <xdr:cNvSpPr txBox="1"/>
      </xdr:nvSpPr>
      <xdr:spPr>
        <a:xfrm>
          <a:off x="5527862" y="3367590"/>
          <a:ext cx="1208523" cy="1744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spAutoFit/>
        </a:bodyPr>
        <a:lstStyle/>
        <a:p>
          <a:pPr marL="0" indent="0" algn="r"/>
          <a:r>
            <a:rPr kumimoji="1" lang="en-US" altLang="ja-JP"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Plus tard</a:t>
          </a:r>
          <a:endParaRPr kumimoji="1" lang="ja-JP" altLang="en-US"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10</xdr:col>
      <xdr:colOff>190500</xdr:colOff>
      <xdr:row>15</xdr:row>
      <xdr:rowOff>51954</xdr:rowOff>
    </xdr:from>
    <xdr:to>
      <xdr:col>24</xdr:col>
      <xdr:colOff>148166</xdr:colOff>
      <xdr:row>17</xdr:row>
      <xdr:rowOff>10391</xdr:rowOff>
    </xdr:to>
    <xdr:sp macro="" textlink="">
      <xdr:nvSpPr>
        <xdr:cNvPr id="107" name="get_pro_txt2" hidden="1">
          <a:extLst>
            <a:ext uri="{FF2B5EF4-FFF2-40B4-BE49-F238E27FC236}">
              <a16:creationId xmlns:a16="http://schemas.microsoft.com/office/drawing/2014/main" id="{00000000-0008-0000-0000-00006B000000}"/>
            </a:ext>
          </a:extLst>
        </xdr:cNvPr>
        <xdr:cNvSpPr txBox="1"/>
      </xdr:nvSpPr>
      <xdr:spPr>
        <a:xfrm>
          <a:off x="2828925" y="1704975"/>
          <a:ext cx="3836334" cy="4762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a:solidFill>
                <a:schemeClr val="bg1"/>
              </a:solidFill>
              <a:effectLst/>
              <a:latin typeface="Franklin Gothic Book" panose="020B0503020102020204" pitchFamily="34" charset="0"/>
              <a:ea typeface="+mn-ea"/>
              <a:cs typeface="+mn-cs"/>
            </a:rPr>
            <a:t>Cette fonctionnalité n'est pas disponible dans la version gratuite du Excel Gantt Chart Maker.</a:t>
          </a:r>
          <a:endParaRPr lang="fr-BE" altLang="ja-JP" sz="1400" b="0" baseline="0">
            <a:solidFill>
              <a:schemeClr val="bg1"/>
            </a:solidFill>
            <a:effectLst/>
            <a:latin typeface="Garamond"/>
            <a:ea typeface="+mn-ea"/>
            <a:cs typeface="+mn-cs"/>
          </a:endParaRPr>
        </a:p>
        <a:p>
          <a:pPr algn="just"/>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10</xdr:col>
      <xdr:colOff>180975</xdr:colOff>
      <xdr:row>17</xdr:row>
      <xdr:rowOff>151534</xdr:rowOff>
    </xdr:from>
    <xdr:to>
      <xdr:col>24</xdr:col>
      <xdr:colOff>145925</xdr:colOff>
      <xdr:row>24</xdr:row>
      <xdr:rowOff>62448</xdr:rowOff>
    </xdr:to>
    <xdr:sp macro="" textlink="">
      <xdr:nvSpPr>
        <xdr:cNvPr id="108" name="get_pro_txt3" hidden="1">
          <a:extLst>
            <a:ext uri="{FF2B5EF4-FFF2-40B4-BE49-F238E27FC236}">
              <a16:creationId xmlns:a16="http://schemas.microsoft.com/office/drawing/2014/main" id="{00000000-0008-0000-0000-00006C000000}"/>
            </a:ext>
          </a:extLst>
        </xdr:cNvPr>
        <xdr:cNvSpPr txBox="1"/>
      </xdr:nvSpPr>
      <xdr:spPr>
        <a:xfrm>
          <a:off x="2819400" y="2314575"/>
          <a:ext cx="3836334" cy="42526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baseline="0">
              <a:solidFill>
                <a:schemeClr val="bg1"/>
              </a:solidFill>
              <a:effectLst/>
              <a:latin typeface="Franklin Gothic Book" panose="020B0503020102020204" pitchFamily="34" charset="0"/>
              <a:ea typeface="+mn-ea"/>
              <a:cs typeface="+mn-cs"/>
            </a:rPr>
            <a:t>Téléchargez la version PRO et découvrez une multitudes de fonctions exclusives.</a:t>
          </a:r>
          <a:endParaRPr lang="fr-BE" altLang="ja-JP" sz="1400" b="0" baseline="0">
            <a:solidFill>
              <a:schemeClr val="bg1"/>
            </a:solidFill>
            <a:effectLst/>
            <a:latin typeface="Garamond"/>
            <a:ea typeface="+mn-ea"/>
            <a:cs typeface="+mn-cs"/>
          </a:endParaRPr>
        </a:p>
        <a:p>
          <a:pPr algn="just"/>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12</xdr:col>
      <xdr:colOff>64994</xdr:colOff>
      <xdr:row>9</xdr:row>
      <xdr:rowOff>189760</xdr:rowOff>
    </xdr:from>
    <xdr:to>
      <xdr:col>12</xdr:col>
      <xdr:colOff>353466</xdr:colOff>
      <xdr:row>11</xdr:row>
      <xdr:rowOff>154131</xdr:rowOff>
    </xdr:to>
    <xdr:pic>
      <xdr:nvPicPr>
        <xdr:cNvPr id="109" name="get_pro_img1" descr="Verrouillage icone 32x32 " hidden="1">
          <a:extLst>
            <a:ext uri="{FF2B5EF4-FFF2-40B4-BE49-F238E27FC236}">
              <a16:creationId xmlns:a16="http://schemas.microsoft.com/office/drawing/2014/main" id="{00000000-0008-0000-0000-00006D000000}"/>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a:ext>
          </a:extLst>
        </a:blip>
        <a:srcRect/>
        <a:stretch>
          <a:fillRect/>
        </a:stretch>
      </xdr:blipFill>
      <xdr:spPr bwMode="auto">
        <a:xfrm>
          <a:off x="3322544" y="1167372"/>
          <a:ext cx="288472" cy="328053"/>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10</xdr:col>
      <xdr:colOff>171450</xdr:colOff>
      <xdr:row>13</xdr:row>
      <xdr:rowOff>0</xdr:rowOff>
    </xdr:from>
    <xdr:to>
      <xdr:col>24</xdr:col>
      <xdr:colOff>121273</xdr:colOff>
      <xdr:row>16</xdr:row>
      <xdr:rowOff>142825</xdr:rowOff>
    </xdr:to>
    <xdr:sp macro="" textlink="">
      <xdr:nvSpPr>
        <xdr:cNvPr id="110" name="get_pro_txt6" hidden="1">
          <a:extLst>
            <a:ext uri="{FF2B5EF4-FFF2-40B4-BE49-F238E27FC236}">
              <a16:creationId xmlns:a16="http://schemas.microsoft.com/office/drawing/2014/main" id="{00000000-0008-0000-0000-00006E000000}"/>
            </a:ext>
          </a:extLst>
        </xdr:cNvPr>
        <xdr:cNvSpPr txBox="1"/>
      </xdr:nvSpPr>
      <xdr:spPr>
        <a:xfrm>
          <a:off x="2809875" y="1657350"/>
          <a:ext cx="3821207" cy="48312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a:solidFill>
                <a:schemeClr val="bg1"/>
              </a:solidFill>
              <a:effectLst/>
              <a:latin typeface="Franklin Gothic Book" panose="020B0503020102020204" pitchFamily="34" charset="0"/>
              <a:ea typeface="+mn-ea"/>
              <a:cs typeface="+mn-cs"/>
            </a:rPr>
            <a:t>Avec la version STARTER, vous ne pouvez pas dépasser 100 lignes.</a:t>
          </a:r>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10</xdr:col>
      <xdr:colOff>180975</xdr:colOff>
      <xdr:row>17</xdr:row>
      <xdr:rowOff>127068</xdr:rowOff>
    </xdr:from>
    <xdr:to>
      <xdr:col>24</xdr:col>
      <xdr:colOff>145925</xdr:colOff>
      <xdr:row>25</xdr:row>
      <xdr:rowOff>104979</xdr:rowOff>
    </xdr:to>
    <xdr:sp macro="" textlink="">
      <xdr:nvSpPr>
        <xdr:cNvPr id="111" name="get_pro_txt7" hidden="1">
          <a:extLst>
            <a:ext uri="{FF2B5EF4-FFF2-40B4-BE49-F238E27FC236}">
              <a16:creationId xmlns:a16="http://schemas.microsoft.com/office/drawing/2014/main" id="{00000000-0008-0000-0000-00006F000000}"/>
            </a:ext>
          </a:extLst>
        </xdr:cNvPr>
        <xdr:cNvSpPr txBox="1"/>
      </xdr:nvSpPr>
      <xdr:spPr>
        <a:xfrm>
          <a:off x="2819400" y="2290109"/>
          <a:ext cx="3836334" cy="63686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baseline="0">
              <a:solidFill>
                <a:schemeClr val="bg1"/>
              </a:solidFill>
              <a:effectLst/>
              <a:latin typeface="Franklin Gothic Book" panose="020B0503020102020204" pitchFamily="34" charset="0"/>
              <a:ea typeface="+mn-ea"/>
              <a:cs typeface="+mn-cs"/>
            </a:rPr>
            <a:t>Téléchargez la version PRO pour lever cette limitation et découvrir une multitudes d'autres  fonctions exclusives.</a:t>
          </a:r>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18</xdr:col>
      <xdr:colOff>233020</xdr:colOff>
      <xdr:row>28</xdr:row>
      <xdr:rowOff>71940</xdr:rowOff>
    </xdr:from>
    <xdr:to>
      <xdr:col>24</xdr:col>
      <xdr:colOff>224366</xdr:colOff>
      <xdr:row>29</xdr:row>
      <xdr:rowOff>98244</xdr:rowOff>
    </xdr:to>
    <xdr:sp macro="[0]!Show_Hide_Rows_Limit" textlink="">
      <xdr:nvSpPr>
        <xdr:cNvPr id="112" name="get_pro_txt8" hidden="1">
          <a:extLst>
            <a:ext uri="{FF2B5EF4-FFF2-40B4-BE49-F238E27FC236}">
              <a16:creationId xmlns:a16="http://schemas.microsoft.com/office/drawing/2014/main" id="{00000000-0008-0000-0000-000070000000}"/>
            </a:ext>
          </a:extLst>
        </xdr:cNvPr>
        <xdr:cNvSpPr txBox="1"/>
      </xdr:nvSpPr>
      <xdr:spPr>
        <a:xfrm>
          <a:off x="5537387" y="3367590"/>
          <a:ext cx="1199963" cy="1744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spAutoFit/>
        </a:bodyPr>
        <a:lstStyle/>
        <a:p>
          <a:pPr marL="0" indent="0" algn="r"/>
          <a:r>
            <a:rPr kumimoji="1" lang="en-US" altLang="ja-JP"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Plus tard</a:t>
          </a:r>
          <a:endParaRPr kumimoji="1" lang="ja-JP" altLang="en-US"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12</xdr:col>
      <xdr:colOff>26894</xdr:colOff>
      <xdr:row>25</xdr:row>
      <xdr:rowOff>121228</xdr:rowOff>
    </xdr:from>
    <xdr:to>
      <xdr:col>12</xdr:col>
      <xdr:colOff>323452</xdr:colOff>
      <xdr:row>27</xdr:row>
      <xdr:rowOff>110680</xdr:rowOff>
    </xdr:to>
    <xdr:pic>
      <xdr:nvPicPr>
        <xdr:cNvPr id="113" name="get_pro_img2" descr="award, gold, medal icon" hidden="1">
          <a:extLst>
            <a:ext uri="{FF2B5EF4-FFF2-40B4-BE49-F238E27FC236}">
              <a16:creationId xmlns:a16="http://schemas.microsoft.com/office/drawing/2014/main" id="{00000000-0008-0000-0000-000071000000}"/>
            </a:ext>
          </a:extLst>
        </xdr:cNvPr>
        <xdr:cNvPicPr>
          <a:picLocks noChangeAspect="1" noChangeArrowheads="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t="-2927" b="-2927"/>
        <a:stretch/>
      </xdr:blipFill>
      <xdr:spPr bwMode="auto">
        <a:xfrm>
          <a:off x="3284444" y="2943226"/>
          <a:ext cx="296558" cy="315034"/>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12</xdr:col>
      <xdr:colOff>369793</xdr:colOff>
      <xdr:row>25</xdr:row>
      <xdr:rowOff>104979</xdr:rowOff>
    </xdr:from>
    <xdr:to>
      <xdr:col>24</xdr:col>
      <xdr:colOff>193550</xdr:colOff>
      <xdr:row>27</xdr:row>
      <xdr:rowOff>86438</xdr:rowOff>
    </xdr:to>
    <xdr:sp macro="" textlink="">
      <xdr:nvSpPr>
        <xdr:cNvPr id="114" name="get_pro_txt4" hidden="1">
          <a:hlinkClick xmlns:r="http://schemas.openxmlformats.org/officeDocument/2006/relationships" r:id="rId22"/>
          <a:extLst>
            <a:ext uri="{FF2B5EF4-FFF2-40B4-BE49-F238E27FC236}">
              <a16:creationId xmlns:a16="http://schemas.microsoft.com/office/drawing/2014/main" id="{00000000-0008-0000-0000-000072000000}"/>
            </a:ext>
          </a:extLst>
        </xdr:cNvPr>
        <xdr:cNvSpPr txBox="1"/>
      </xdr:nvSpPr>
      <xdr:spPr>
        <a:xfrm>
          <a:off x="3627343" y="2926977"/>
          <a:ext cx="3076016" cy="30704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fontAlgn="b"/>
          <a:r>
            <a:rPr kumimoji="1" lang="en-US" altLang="ja-JP" sz="1600" b="1" i="0" u="none" cap="none" spc="0" baseline="0">
              <a:ln>
                <a:noFill/>
              </a:ln>
              <a:gradFill flip="none" rotWithShape="1">
                <a:gsLst>
                  <a:gs pos="0">
                    <a:srgbClr val="FB4521"/>
                  </a:gs>
                  <a:gs pos="100000">
                    <a:srgbClr val="FFA829"/>
                  </a:gs>
                </a:gsLst>
                <a:lin ang="13500000" scaled="1"/>
                <a:tileRect/>
              </a:gradFill>
              <a:effectLst/>
              <a:latin typeface="Franklin Gothic Book" panose="020B0503020102020204" pitchFamily="34" charset="0"/>
              <a:ea typeface="Arial Unicode MS" panose="020B0604020202020204" pitchFamily="50" charset="-128"/>
              <a:cs typeface="Arial" panose="020B0604020202020204" pitchFamily="34" charset="0"/>
            </a:rPr>
            <a:t>Téléchargez la version PRO !</a:t>
          </a:r>
        </a:p>
      </xdr:txBody>
    </xdr:sp>
    <xdr:clientData fPrintsWithSheet="0"/>
  </xdr:twoCellAnchor>
  <xdr:twoCellAnchor editAs="absolute">
    <xdr:from>
      <xdr:col>0</xdr:col>
      <xdr:colOff>12700</xdr:colOff>
      <xdr:row>0</xdr:row>
      <xdr:rowOff>12700</xdr:rowOff>
    </xdr:from>
    <xdr:to>
      <xdr:col>14</xdr:col>
      <xdr:colOff>546312</xdr:colOff>
      <xdr:row>4</xdr:row>
      <xdr:rowOff>144780</xdr:rowOff>
    </xdr:to>
    <xdr:pic>
      <xdr:nvPicPr>
        <xdr:cNvPr id="115" name="logo">
          <a:extLst>
            <a:ext uri="{FF2B5EF4-FFF2-40B4-BE49-F238E27FC236}">
              <a16:creationId xmlns:a16="http://schemas.microsoft.com/office/drawing/2014/main" id="{00000000-0008-0000-0000-000073000000}"/>
            </a:ext>
          </a:extLst>
        </xdr:cNvPr>
        <xdr:cNvPicPr>
          <a:picLocks noChangeAspect="1"/>
        </xdr:cNvPicPr>
      </xdr:nvPicPr>
      <xdr:blipFill>
        <a:blip xmlns:r="http://schemas.openxmlformats.org/officeDocument/2006/relationships" r:embed="rId23" r:link="rId24">
          <a:extLst>
            <a:ext uri="{28A0092B-C50C-407E-A947-70E740481C1C}">
              <a14:useLocalDpi xmlns:a14="http://schemas.microsoft.com/office/drawing/2010/main" val="0"/>
            </a:ext>
          </a:extLst>
        </a:blip>
        <a:stretch>
          <a:fillRect/>
        </a:stretch>
      </xdr:blipFill>
      <xdr:spPr>
        <a:xfrm>
          <a:off x="12700" y="12700"/>
          <a:ext cx="4643120" cy="779780"/>
        </a:xfrm>
        <a:prstGeom prst="rect">
          <a:avLst/>
        </a:prstGeom>
      </xdr:spPr>
    </xdr:pic>
    <xdr:clientData/>
  </xdr:twoCellAnchor>
  <xdr:twoCellAnchor editAs="absolute">
    <xdr:from>
      <xdr:col>14</xdr:col>
      <xdr:colOff>538692</xdr:colOff>
      <xdr:row>0</xdr:row>
      <xdr:rowOff>9525</xdr:rowOff>
    </xdr:from>
    <xdr:to>
      <xdr:col>525</xdr:col>
      <xdr:colOff>21332</xdr:colOff>
      <xdr:row>4</xdr:row>
      <xdr:rowOff>144653</xdr:rowOff>
    </xdr:to>
    <xdr:pic>
      <xdr:nvPicPr>
        <xdr:cNvPr id="116" name="header">
          <a:extLst>
            <a:ext uri="{FF2B5EF4-FFF2-40B4-BE49-F238E27FC236}">
              <a16:creationId xmlns:a16="http://schemas.microsoft.com/office/drawing/2014/main" id="{00000000-0008-0000-0000-000074000000}"/>
            </a:ext>
          </a:extLst>
        </xdr:cNvPr>
        <xdr:cNvPicPr>
          <a:picLocks noChangeAspect="1"/>
        </xdr:cNvPicPr>
      </xdr:nvPicPr>
      <xdr:blipFill>
        <a:blip xmlns:r="http://schemas.openxmlformats.org/officeDocument/2006/relationships" r:embed="rId25" r:link="rId26">
          <a:extLst>
            <a:ext uri="{28A0092B-C50C-407E-A947-70E740481C1C}">
              <a14:useLocalDpi xmlns:a14="http://schemas.microsoft.com/office/drawing/2010/main" val="0"/>
            </a:ext>
          </a:extLst>
        </a:blip>
        <a:stretch>
          <a:fillRect/>
        </a:stretch>
      </xdr:blipFill>
      <xdr:spPr>
        <a:xfrm>
          <a:off x="4648200" y="9525"/>
          <a:ext cx="85328290" cy="782828"/>
        </a:xfrm>
        <a:prstGeom prst="rect">
          <a:avLst/>
        </a:prstGeom>
      </xdr:spPr>
    </xdr:pic>
    <xdr:clientData/>
  </xdr:twoCellAnchor>
  <xdr:twoCellAnchor editAs="absolute">
    <xdr:from>
      <xdr:col>4</xdr:col>
      <xdr:colOff>200025</xdr:colOff>
      <xdr:row>83</xdr:row>
      <xdr:rowOff>78316</xdr:rowOff>
    </xdr:from>
    <xdr:to>
      <xdr:col>5</xdr:col>
      <xdr:colOff>228600</xdr:colOff>
      <xdr:row>85</xdr:row>
      <xdr:rowOff>59266</xdr:rowOff>
    </xdr:to>
    <xdr:pic macro="[0]!Translate_Dutch">
      <xdr:nvPicPr>
        <xdr:cNvPr id="117" name="PC-lang_img5">
          <a:extLst>
            <a:ext uri="{FF2B5EF4-FFF2-40B4-BE49-F238E27FC236}">
              <a16:creationId xmlns:a16="http://schemas.microsoft.com/office/drawing/2014/main" id="{00000000-0008-0000-0000-000075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52525" y="11972925"/>
          <a:ext cx="304800" cy="304800"/>
        </a:xfrm>
        <a:prstGeom prst="rect">
          <a:avLst/>
        </a:prstGeom>
      </xdr:spPr>
    </xdr:pic>
    <xdr:clientData/>
  </xdr:twoCellAnchor>
  <xdr:twoCellAnchor editAs="absolute">
    <xdr:from>
      <xdr:col>6</xdr:col>
      <xdr:colOff>235725</xdr:colOff>
      <xdr:row>83</xdr:row>
      <xdr:rowOff>75916</xdr:rowOff>
    </xdr:from>
    <xdr:to>
      <xdr:col>7</xdr:col>
      <xdr:colOff>264300</xdr:colOff>
      <xdr:row>85</xdr:row>
      <xdr:rowOff>56866</xdr:rowOff>
    </xdr:to>
    <xdr:pic macro="[0]!Translate_Portuguese">
      <xdr:nvPicPr>
        <xdr:cNvPr id="118" name="PC-lang_img6">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740675" y="11970525"/>
          <a:ext cx="304800" cy="304800"/>
        </a:xfrm>
        <a:prstGeom prst="rect">
          <a:avLst/>
        </a:prstGeom>
      </xdr:spPr>
    </xdr:pic>
    <xdr:clientData/>
  </xdr:twoCellAnchor>
  <xdr:twoCellAnchor editAs="oneCell">
    <xdr:from>
      <xdr:col>4</xdr:col>
      <xdr:colOff>9525</xdr:colOff>
      <xdr:row>91</xdr:row>
      <xdr:rowOff>80081</xdr:rowOff>
    </xdr:from>
    <xdr:to>
      <xdr:col>5</xdr:col>
      <xdr:colOff>57300</xdr:colOff>
      <xdr:row>93</xdr:row>
      <xdr:rowOff>145031</xdr:rowOff>
    </xdr:to>
    <xdr:pic macro="[0]!Translate_Dutch">
      <xdr:nvPicPr>
        <xdr:cNvPr id="119" name="mac-lang_img5" hidden="1">
          <a:extLst>
            <a:ext uri="{FF2B5EF4-FFF2-40B4-BE49-F238E27FC236}">
              <a16:creationId xmlns:a16="http://schemas.microsoft.com/office/drawing/2014/main" id="{00000000-0008-0000-0000-00007700000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24303" y="11721748"/>
          <a:ext cx="372330" cy="375394"/>
        </a:xfrm>
        <a:prstGeom prst="rect">
          <a:avLst/>
        </a:prstGeom>
      </xdr:spPr>
    </xdr:pic>
    <xdr:clientData/>
  </xdr:twoCellAnchor>
  <xdr:twoCellAnchor editAs="oneCell">
    <xdr:from>
      <xdr:col>5</xdr:col>
      <xdr:colOff>216322</xdr:colOff>
      <xdr:row>91</xdr:row>
      <xdr:rowOff>73095</xdr:rowOff>
    </xdr:from>
    <xdr:to>
      <xdr:col>6</xdr:col>
      <xdr:colOff>264097</xdr:colOff>
      <xdr:row>93</xdr:row>
      <xdr:rowOff>138045</xdr:rowOff>
    </xdr:to>
    <xdr:pic macro="[0]!Translate_Portuguese">
      <xdr:nvPicPr>
        <xdr:cNvPr id="120" name="mac-lang_img6" hidden="1">
          <a:extLst>
            <a:ext uri="{FF2B5EF4-FFF2-40B4-BE49-F238E27FC236}">
              <a16:creationId xmlns:a16="http://schemas.microsoft.com/office/drawing/2014/main" id="{00000000-0008-0000-0000-00007800000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655655" y="11714762"/>
          <a:ext cx="372331" cy="3753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182033</xdr:colOff>
      <xdr:row>7</xdr:row>
      <xdr:rowOff>153458</xdr:rowOff>
    </xdr:from>
    <xdr:to>
      <xdr:col>3</xdr:col>
      <xdr:colOff>296333</xdr:colOff>
      <xdr:row>8</xdr:row>
      <xdr:rowOff>296333</xdr:rowOff>
    </xdr:to>
    <xdr:pic>
      <xdr:nvPicPr>
        <xdr:cNvPr id="8" name="PC-team" descr="group.png">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3458633" y="153458"/>
          <a:ext cx="304800" cy="304800"/>
        </a:xfrm>
        <a:prstGeom prst="rect">
          <a:avLst/>
        </a:prstGeom>
      </xdr:spPr>
    </xdr:pic>
    <xdr:clientData/>
  </xdr:twoCellAnchor>
  <xdr:twoCellAnchor editAs="absolute">
    <xdr:from>
      <xdr:col>0</xdr:col>
      <xdr:colOff>124884</xdr:colOff>
      <xdr:row>7</xdr:row>
      <xdr:rowOff>142875</xdr:rowOff>
    </xdr:from>
    <xdr:to>
      <xdr:col>1</xdr:col>
      <xdr:colOff>296334</xdr:colOff>
      <xdr:row>8</xdr:row>
      <xdr:rowOff>285750</xdr:rowOff>
    </xdr:to>
    <xdr:pic>
      <xdr:nvPicPr>
        <xdr:cNvPr id="9" name="PC-vacations" descr="shop_closed.png">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a:stretch>
          <a:fillRect/>
        </a:stretch>
      </xdr:blipFill>
      <xdr:spPr>
        <a:xfrm>
          <a:off x="124884" y="142875"/>
          <a:ext cx="304800" cy="304800"/>
        </a:xfrm>
        <a:prstGeom prst="rect">
          <a:avLst/>
        </a:prstGeom>
      </xdr:spPr>
    </xdr:pic>
    <xdr:clientData/>
  </xdr:twoCellAnchor>
  <xdr:twoCellAnchor editAs="absolute">
    <xdr:from>
      <xdr:col>3</xdr:col>
      <xdr:colOff>58914</xdr:colOff>
      <xdr:row>7</xdr:row>
      <xdr:rowOff>155575</xdr:rowOff>
    </xdr:from>
    <xdr:to>
      <xdr:col>3</xdr:col>
      <xdr:colOff>338314</xdr:colOff>
      <xdr:row>8</xdr:row>
      <xdr:rowOff>292100</xdr:rowOff>
    </xdr:to>
    <xdr:pic>
      <xdr:nvPicPr>
        <xdr:cNvPr id="11" name="mac-team" descr="group.png" hidden="1">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stretch>
          <a:fillRect/>
        </a:stretch>
      </xdr:blipFill>
      <xdr:spPr>
        <a:xfrm>
          <a:off x="3526014" y="155575"/>
          <a:ext cx="279400" cy="298450"/>
        </a:xfrm>
        <a:prstGeom prst="rect">
          <a:avLst/>
        </a:prstGeom>
      </xdr:spPr>
    </xdr:pic>
    <xdr:clientData/>
  </xdr:twoCellAnchor>
  <xdr:twoCellAnchor editAs="absolute">
    <xdr:from>
      <xdr:col>0</xdr:col>
      <xdr:colOff>123826</xdr:colOff>
      <xdr:row>7</xdr:row>
      <xdr:rowOff>155575</xdr:rowOff>
    </xdr:from>
    <xdr:to>
      <xdr:col>1</xdr:col>
      <xdr:colOff>276226</xdr:colOff>
      <xdr:row>8</xdr:row>
      <xdr:rowOff>294923</xdr:rowOff>
    </xdr:to>
    <xdr:pic>
      <xdr:nvPicPr>
        <xdr:cNvPr id="12" name="mac-vacations" descr="shop_closed.png"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stretch>
          <a:fillRect/>
        </a:stretch>
      </xdr:blipFill>
      <xdr:spPr>
        <a:xfrm>
          <a:off x="123826" y="155575"/>
          <a:ext cx="285750" cy="3012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15</xdr:row>
      <xdr:rowOff>9525</xdr:rowOff>
    </xdr:from>
    <xdr:to>
      <xdr:col>6</xdr:col>
      <xdr:colOff>123825</xdr:colOff>
      <xdr:row>16</xdr:row>
      <xdr:rowOff>104775</xdr:rowOff>
    </xdr:to>
    <xdr:sp macro="" textlink="">
      <xdr:nvSpPr>
        <xdr:cNvPr id="2" name="Rounded Rectangular Callout 1">
          <a:extLst>
            <a:ext uri="{FF2B5EF4-FFF2-40B4-BE49-F238E27FC236}">
              <a16:creationId xmlns:a16="http://schemas.microsoft.com/office/drawing/2014/main" id="{00000000-0008-0000-0200-000002000000}"/>
            </a:ext>
          </a:extLst>
        </xdr:cNvPr>
        <xdr:cNvSpPr/>
      </xdr:nvSpPr>
      <xdr:spPr>
        <a:xfrm>
          <a:off x="4714875" y="2552700"/>
          <a:ext cx="923925" cy="257175"/>
        </a:xfrm>
        <a:prstGeom prst="wedgeRoundRectCallout">
          <a:avLst>
            <a:gd name="adj1" fmla="val -20833"/>
            <a:gd name="adj2" fmla="val 84722"/>
            <a:gd name="adj3" fmla="val 16667"/>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GB" sz="900"/>
            <a:t>Modify here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9525</xdr:colOff>
      <xdr:row>83</xdr:row>
      <xdr:rowOff>152400</xdr:rowOff>
    </xdr:from>
    <xdr:to>
      <xdr:col>14</xdr:col>
      <xdr:colOff>1</xdr:colOff>
      <xdr:row>107</xdr:row>
      <xdr:rowOff>9525</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11944350" y="13163550"/>
          <a:ext cx="1209676" cy="3743325"/>
        </a:xfrm>
        <a:prstGeom prst="rect">
          <a:avLst/>
        </a:prstGeom>
        <a:noFill/>
        <a:ln>
          <a:solidFill>
            <a:srgbClr val="C4004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520</xdr:col>
      <xdr:colOff>301070</xdr:colOff>
      <xdr:row>222</xdr:row>
      <xdr:rowOff>21694</xdr:rowOff>
    </xdr:to>
    <xdr:sp macro="" textlink="">
      <xdr:nvSpPr>
        <xdr:cNvPr id="2" name="start_9">
          <a:extLst>
            <a:ext uri="{FF2B5EF4-FFF2-40B4-BE49-F238E27FC236}">
              <a16:creationId xmlns:a16="http://schemas.microsoft.com/office/drawing/2014/main" id="{00000000-0008-0000-0400-000002000000}"/>
            </a:ext>
          </a:extLst>
        </xdr:cNvPr>
        <xdr:cNvSpPr/>
      </xdr:nvSpPr>
      <xdr:spPr>
        <a:xfrm>
          <a:off x="0" y="0"/>
          <a:ext cx="178609070" cy="35988094"/>
        </a:xfrm>
        <a:prstGeom prst="rect">
          <a:avLst/>
        </a:prstGeom>
        <a:blipFill dpi="0" rotWithShape="1">
          <a:blip xmlns:r="http://schemas.openxmlformats.org/officeDocument/2006/relationships" r:embed="rId1"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7</xdr:col>
      <xdr:colOff>171450</xdr:colOff>
      <xdr:row>1</xdr:row>
      <xdr:rowOff>161924</xdr:rowOff>
    </xdr:from>
    <xdr:to>
      <xdr:col>23</xdr:col>
      <xdr:colOff>76199</xdr:colOff>
      <xdr:row>23</xdr:row>
      <xdr:rowOff>19050</xdr:rowOff>
    </xdr:to>
    <xdr:sp macro="" textlink="">
      <xdr:nvSpPr>
        <xdr:cNvPr id="3" name="start_1">
          <a:extLst>
            <a:ext uri="{FF2B5EF4-FFF2-40B4-BE49-F238E27FC236}">
              <a16:creationId xmlns:a16="http://schemas.microsoft.com/office/drawing/2014/main" id="{00000000-0008-0000-0400-000003000000}"/>
            </a:ext>
          </a:extLst>
        </xdr:cNvPr>
        <xdr:cNvSpPr/>
      </xdr:nvSpPr>
      <xdr:spPr>
        <a:xfrm>
          <a:off x="2571750" y="323849"/>
          <a:ext cx="5391149" cy="3438526"/>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10</xdr:col>
      <xdr:colOff>76200</xdr:colOff>
      <xdr:row>2</xdr:row>
      <xdr:rowOff>109538</xdr:rowOff>
    </xdr:from>
    <xdr:to>
      <xdr:col>20</xdr:col>
      <xdr:colOff>323850</xdr:colOff>
      <xdr:row>4</xdr:row>
      <xdr:rowOff>85998</xdr:rowOff>
    </xdr:to>
    <xdr:sp macro="" textlink="">
      <xdr:nvSpPr>
        <xdr:cNvPr id="4" name="start_3">
          <a:extLst>
            <a:ext uri="{FF2B5EF4-FFF2-40B4-BE49-F238E27FC236}">
              <a16:creationId xmlns:a16="http://schemas.microsoft.com/office/drawing/2014/main" id="{00000000-0008-0000-0400-000004000000}"/>
            </a:ext>
          </a:extLst>
        </xdr:cNvPr>
        <xdr:cNvSpPr txBox="1"/>
      </xdr:nvSpPr>
      <xdr:spPr>
        <a:xfrm>
          <a:off x="3505200" y="433388"/>
          <a:ext cx="3676650"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You</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are using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2007</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9</xdr:col>
      <xdr:colOff>57149</xdr:colOff>
      <xdr:row>4</xdr:row>
      <xdr:rowOff>142875</xdr:rowOff>
    </xdr:from>
    <xdr:to>
      <xdr:col>22</xdr:col>
      <xdr:colOff>74920</xdr:colOff>
      <xdr:row>11</xdr:row>
      <xdr:rowOff>56888</xdr:rowOff>
    </xdr:to>
    <xdr:sp macro="" textlink="">
      <xdr:nvSpPr>
        <xdr:cNvPr id="5" name="start_4">
          <a:extLst>
            <a:ext uri="{FF2B5EF4-FFF2-40B4-BE49-F238E27FC236}">
              <a16:creationId xmlns:a16="http://schemas.microsoft.com/office/drawing/2014/main" id="{00000000-0008-0000-0400-000005000000}"/>
            </a:ext>
          </a:extLst>
        </xdr:cNvPr>
        <xdr:cNvSpPr txBox="1"/>
      </xdr:nvSpPr>
      <xdr:spPr>
        <a:xfrm>
          <a:off x="3143249" y="790575"/>
          <a:ext cx="4475471" cy="104748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lnSpc>
              <a:spcPct val="100000"/>
            </a:lnSpc>
          </a:pPr>
          <a:r>
            <a:rPr lang="en-US" altLang="ja-JP" sz="1300" b="0" baseline="0">
              <a:solidFill>
                <a:schemeClr val="bg1"/>
              </a:solidFill>
              <a:effectLst/>
              <a:latin typeface="Franklin Gothic Book" panose="020B0503020102020204" pitchFamily="34" charset="0"/>
              <a:ea typeface="+mn-ea"/>
              <a:cs typeface="+mn-cs"/>
            </a:rPr>
            <a:t>For a better experience please use Excel 2010 or higher.</a:t>
          </a:r>
        </a:p>
        <a:p>
          <a:pPr algn="l">
            <a:lnSpc>
              <a:spcPct val="100000"/>
            </a:lnSpc>
          </a:pPr>
          <a:endParaRPr lang="en-US" altLang="ja-JP" sz="1300" b="0" baseline="0">
            <a:solidFill>
              <a:schemeClr val="bg1"/>
            </a:solidFill>
            <a:effectLst/>
            <a:latin typeface="Franklin Gothic Book" panose="020B0503020102020204" pitchFamily="34" charset="0"/>
            <a:ea typeface="+mn-ea"/>
            <a:cs typeface="+mn-cs"/>
          </a:endParaRPr>
        </a:p>
        <a:p>
          <a:pPr algn="l">
            <a:lnSpc>
              <a:spcPct val="100000"/>
            </a:lnSpc>
          </a:pPr>
          <a:r>
            <a:rPr lang="en-US" altLang="ja-JP" sz="1300" b="0" baseline="0">
              <a:solidFill>
                <a:schemeClr val="bg1"/>
              </a:solidFill>
              <a:effectLst/>
              <a:latin typeface="Franklin Gothic Book" panose="020B0503020102020204" pitchFamily="34" charset="0"/>
              <a:ea typeface="+mn-ea"/>
              <a:cs typeface="+mn-cs"/>
            </a:rPr>
            <a:t>If you would like to use this tool with Excel 2007, you should have a received another file which is compatible with Excel 2007.</a:t>
          </a:r>
        </a:p>
        <a:p>
          <a:pPr algn="l">
            <a:lnSpc>
              <a:spcPct val="100000"/>
            </a:lnSpc>
          </a:pPr>
          <a:endParaRPr lang="en-US" altLang="ja-JP" sz="1300" b="0">
            <a:solidFill>
              <a:schemeClr val="bg1"/>
            </a:solidFill>
            <a:effectLst/>
            <a:latin typeface="Franklin Gothic Book" panose="020B0503020102020204" pitchFamily="34" charset="0"/>
            <a:ea typeface="+mn-ea"/>
            <a:cs typeface="+mn-cs"/>
          </a:endParaRPr>
        </a:p>
      </xdr:txBody>
    </xdr:sp>
    <xdr:clientData fPrintsWithSheet="0"/>
  </xdr:twoCellAnchor>
  <xdr:twoCellAnchor editAs="absolute">
    <xdr:from>
      <xdr:col>8</xdr:col>
      <xdr:colOff>0</xdr:colOff>
      <xdr:row>5</xdr:row>
      <xdr:rowOff>9525</xdr:rowOff>
    </xdr:from>
    <xdr:to>
      <xdr:col>8</xdr:col>
      <xdr:colOff>304800</xdr:colOff>
      <xdr:row>6</xdr:row>
      <xdr:rowOff>152400</xdr:rowOff>
    </xdr:to>
    <xdr:pic>
      <xdr:nvPicPr>
        <xdr:cNvPr id="6" name="start_5" descr="britain, flag, great icon">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2743200" y="819150"/>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8</xdr:col>
      <xdr:colOff>19050</xdr:colOff>
      <xdr:row>15</xdr:row>
      <xdr:rowOff>19050</xdr:rowOff>
    </xdr:from>
    <xdr:to>
      <xdr:col>8</xdr:col>
      <xdr:colOff>323850</xdr:colOff>
      <xdr:row>17</xdr:row>
      <xdr:rowOff>0</xdr:rowOff>
    </xdr:to>
    <xdr:pic>
      <xdr:nvPicPr>
        <xdr:cNvPr id="7" name="start_6" descr="flag, france icon">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2762250" y="2466975"/>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17</xdr:col>
      <xdr:colOff>0</xdr:colOff>
      <xdr:row>12</xdr:row>
      <xdr:rowOff>0</xdr:rowOff>
    </xdr:from>
    <xdr:to>
      <xdr:col>17</xdr:col>
      <xdr:colOff>9525</xdr:colOff>
      <xdr:row>12</xdr:row>
      <xdr:rowOff>9525</xdr:rowOff>
    </xdr:to>
    <xdr:sp macro="" textlink="">
      <xdr:nvSpPr>
        <xdr:cNvPr id="8" name="AutoShape 1" descr="https://d.adroll.com/cm/r/out">
          <a:extLst>
            <a:ext uri="{FF2B5EF4-FFF2-40B4-BE49-F238E27FC236}">
              <a16:creationId xmlns:a16="http://schemas.microsoft.com/office/drawing/2014/main" id="{00000000-0008-0000-0400-000008000000}"/>
            </a:ext>
          </a:extLst>
        </xdr:cNvPr>
        <xdr:cNvSpPr>
          <a:spLocks noChangeAspect="1" noChangeArrowheads="1"/>
        </xdr:cNvSpPr>
      </xdr:nvSpPr>
      <xdr:spPr bwMode="auto">
        <a:xfrm>
          <a:off x="58293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19050</xdr:colOff>
      <xdr:row>12</xdr:row>
      <xdr:rowOff>0</xdr:rowOff>
    </xdr:from>
    <xdr:to>
      <xdr:col>17</xdr:col>
      <xdr:colOff>28575</xdr:colOff>
      <xdr:row>12</xdr:row>
      <xdr:rowOff>9525</xdr:rowOff>
    </xdr:to>
    <xdr:sp macro="" textlink="">
      <xdr:nvSpPr>
        <xdr:cNvPr id="9" name="AutoShape 2" descr="https://d.adroll.com/cm/f/out">
          <a:extLst>
            <a:ext uri="{FF2B5EF4-FFF2-40B4-BE49-F238E27FC236}">
              <a16:creationId xmlns:a16="http://schemas.microsoft.com/office/drawing/2014/main" id="{00000000-0008-0000-0400-000009000000}"/>
            </a:ext>
          </a:extLst>
        </xdr:cNvPr>
        <xdr:cNvSpPr>
          <a:spLocks noChangeAspect="1" noChangeArrowheads="1"/>
        </xdr:cNvSpPr>
      </xdr:nvSpPr>
      <xdr:spPr bwMode="auto">
        <a:xfrm>
          <a:off x="584835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38100</xdr:colOff>
      <xdr:row>12</xdr:row>
      <xdr:rowOff>0</xdr:rowOff>
    </xdr:from>
    <xdr:to>
      <xdr:col>17</xdr:col>
      <xdr:colOff>47625</xdr:colOff>
      <xdr:row>12</xdr:row>
      <xdr:rowOff>9525</xdr:rowOff>
    </xdr:to>
    <xdr:sp macro="" textlink="">
      <xdr:nvSpPr>
        <xdr:cNvPr id="10" name="AutoShape 3" descr="https://d.adroll.com/cm/b/out">
          <a:extLst>
            <a:ext uri="{FF2B5EF4-FFF2-40B4-BE49-F238E27FC236}">
              <a16:creationId xmlns:a16="http://schemas.microsoft.com/office/drawing/2014/main" id="{00000000-0008-0000-0400-00000A000000}"/>
            </a:ext>
          </a:extLst>
        </xdr:cNvPr>
        <xdr:cNvSpPr>
          <a:spLocks noChangeAspect="1" noChangeArrowheads="1"/>
        </xdr:cNvSpPr>
      </xdr:nvSpPr>
      <xdr:spPr bwMode="auto">
        <a:xfrm>
          <a:off x="58674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57150</xdr:colOff>
      <xdr:row>12</xdr:row>
      <xdr:rowOff>0</xdr:rowOff>
    </xdr:from>
    <xdr:to>
      <xdr:col>17</xdr:col>
      <xdr:colOff>66675</xdr:colOff>
      <xdr:row>12</xdr:row>
      <xdr:rowOff>9525</xdr:rowOff>
    </xdr:to>
    <xdr:sp macro="" textlink="">
      <xdr:nvSpPr>
        <xdr:cNvPr id="11" name="AutoShape 4" descr="https://d.adroll.com/cm/w/out">
          <a:extLst>
            <a:ext uri="{FF2B5EF4-FFF2-40B4-BE49-F238E27FC236}">
              <a16:creationId xmlns:a16="http://schemas.microsoft.com/office/drawing/2014/main" id="{00000000-0008-0000-0400-00000B000000}"/>
            </a:ext>
          </a:extLst>
        </xdr:cNvPr>
        <xdr:cNvSpPr>
          <a:spLocks noChangeAspect="1" noChangeArrowheads="1"/>
        </xdr:cNvSpPr>
      </xdr:nvSpPr>
      <xdr:spPr bwMode="auto">
        <a:xfrm>
          <a:off x="588645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76200</xdr:colOff>
      <xdr:row>12</xdr:row>
      <xdr:rowOff>0</xdr:rowOff>
    </xdr:from>
    <xdr:to>
      <xdr:col>17</xdr:col>
      <xdr:colOff>85725</xdr:colOff>
      <xdr:row>12</xdr:row>
      <xdr:rowOff>9525</xdr:rowOff>
    </xdr:to>
    <xdr:sp macro="" textlink="">
      <xdr:nvSpPr>
        <xdr:cNvPr id="12" name="AutoShape 5" descr="https://d.adroll.com/cm/x/out">
          <a:extLst>
            <a:ext uri="{FF2B5EF4-FFF2-40B4-BE49-F238E27FC236}">
              <a16:creationId xmlns:a16="http://schemas.microsoft.com/office/drawing/2014/main" id="{00000000-0008-0000-0400-00000C000000}"/>
            </a:ext>
          </a:extLst>
        </xdr:cNvPr>
        <xdr:cNvSpPr>
          <a:spLocks noChangeAspect="1" noChangeArrowheads="1"/>
        </xdr:cNvSpPr>
      </xdr:nvSpPr>
      <xdr:spPr bwMode="auto">
        <a:xfrm>
          <a:off x="59055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95250</xdr:colOff>
      <xdr:row>12</xdr:row>
      <xdr:rowOff>0</xdr:rowOff>
    </xdr:from>
    <xdr:to>
      <xdr:col>17</xdr:col>
      <xdr:colOff>104775</xdr:colOff>
      <xdr:row>12</xdr:row>
      <xdr:rowOff>9525</xdr:rowOff>
    </xdr:to>
    <xdr:sp macro="" textlink="">
      <xdr:nvSpPr>
        <xdr:cNvPr id="13" name="AutoShape 6" descr="https://d.adroll.com/cm/l/out">
          <a:extLst>
            <a:ext uri="{FF2B5EF4-FFF2-40B4-BE49-F238E27FC236}">
              <a16:creationId xmlns:a16="http://schemas.microsoft.com/office/drawing/2014/main" id="{00000000-0008-0000-0400-00000D000000}"/>
            </a:ext>
          </a:extLst>
        </xdr:cNvPr>
        <xdr:cNvSpPr>
          <a:spLocks noChangeAspect="1" noChangeArrowheads="1"/>
        </xdr:cNvSpPr>
      </xdr:nvSpPr>
      <xdr:spPr bwMode="auto">
        <a:xfrm>
          <a:off x="592455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114300</xdr:colOff>
      <xdr:row>12</xdr:row>
      <xdr:rowOff>0</xdr:rowOff>
    </xdr:from>
    <xdr:to>
      <xdr:col>17</xdr:col>
      <xdr:colOff>123825</xdr:colOff>
      <xdr:row>12</xdr:row>
      <xdr:rowOff>9525</xdr:rowOff>
    </xdr:to>
    <xdr:sp macro="" textlink="">
      <xdr:nvSpPr>
        <xdr:cNvPr id="14" name="AutoShape 7" descr="https://www.googleadservices.com/pagead/conversion/976682315/?label=UbUUCOa0o1YQy_rb0QM&amp;guid=ON&amp;script=0&amp;ord=5199583842723983">
          <a:extLst>
            <a:ext uri="{FF2B5EF4-FFF2-40B4-BE49-F238E27FC236}">
              <a16:creationId xmlns:a16="http://schemas.microsoft.com/office/drawing/2014/main" id="{00000000-0008-0000-0400-00000E000000}"/>
            </a:ext>
          </a:extLst>
        </xdr:cNvPr>
        <xdr:cNvSpPr>
          <a:spLocks noChangeAspect="1" noChangeArrowheads="1"/>
        </xdr:cNvSpPr>
      </xdr:nvSpPr>
      <xdr:spPr bwMode="auto">
        <a:xfrm>
          <a:off x="59436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133350</xdr:colOff>
      <xdr:row>12</xdr:row>
      <xdr:rowOff>0</xdr:rowOff>
    </xdr:from>
    <xdr:to>
      <xdr:col>17</xdr:col>
      <xdr:colOff>142875</xdr:colOff>
      <xdr:row>12</xdr:row>
      <xdr:rowOff>9525</xdr:rowOff>
    </xdr:to>
    <xdr:sp macro="" textlink="">
      <xdr:nvSpPr>
        <xdr:cNvPr id="15" name="AutoShape 8" descr="https://d.adroll.com/cm/g/out?google_nid=adroll5">
          <a:extLst>
            <a:ext uri="{FF2B5EF4-FFF2-40B4-BE49-F238E27FC236}">
              <a16:creationId xmlns:a16="http://schemas.microsoft.com/office/drawing/2014/main" id="{00000000-0008-0000-0400-00000F000000}"/>
            </a:ext>
          </a:extLst>
        </xdr:cNvPr>
        <xdr:cNvSpPr>
          <a:spLocks noChangeAspect="1" noChangeArrowheads="1"/>
        </xdr:cNvSpPr>
      </xdr:nvSpPr>
      <xdr:spPr bwMode="auto">
        <a:xfrm>
          <a:off x="596265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152400</xdr:colOff>
      <xdr:row>12</xdr:row>
      <xdr:rowOff>0</xdr:rowOff>
    </xdr:from>
    <xdr:to>
      <xdr:col>17</xdr:col>
      <xdr:colOff>161925</xdr:colOff>
      <xdr:row>12</xdr:row>
      <xdr:rowOff>9525</xdr:rowOff>
    </xdr:to>
    <xdr:sp macro="" textlink="">
      <xdr:nvSpPr>
        <xdr:cNvPr id="16" name="AutoShape 9" descr="https://secure.adnxs.com/seg?add=2035784&amp;t=2">
          <a:extLst>
            <a:ext uri="{FF2B5EF4-FFF2-40B4-BE49-F238E27FC236}">
              <a16:creationId xmlns:a16="http://schemas.microsoft.com/office/drawing/2014/main" id="{00000000-0008-0000-0400-000010000000}"/>
            </a:ext>
          </a:extLst>
        </xdr:cNvPr>
        <xdr:cNvSpPr>
          <a:spLocks noChangeAspect="1" noChangeArrowheads="1"/>
        </xdr:cNvSpPr>
      </xdr:nvSpPr>
      <xdr:spPr bwMode="auto">
        <a:xfrm>
          <a:off x="59817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9</xdr:col>
      <xdr:colOff>66674</xdr:colOff>
      <xdr:row>15</xdr:row>
      <xdr:rowOff>38100</xdr:rowOff>
    </xdr:from>
    <xdr:to>
      <xdr:col>22</xdr:col>
      <xdr:colOff>190499</xdr:colOff>
      <xdr:row>22</xdr:row>
      <xdr:rowOff>66675</xdr:rowOff>
    </xdr:to>
    <xdr:sp macro="" textlink="">
      <xdr:nvSpPr>
        <xdr:cNvPr id="22" name="start_4">
          <a:extLst>
            <a:ext uri="{FF2B5EF4-FFF2-40B4-BE49-F238E27FC236}">
              <a16:creationId xmlns:a16="http://schemas.microsoft.com/office/drawing/2014/main" id="{00000000-0008-0000-0400-000016000000}"/>
            </a:ext>
          </a:extLst>
        </xdr:cNvPr>
        <xdr:cNvSpPr txBox="1"/>
      </xdr:nvSpPr>
      <xdr:spPr>
        <a:xfrm>
          <a:off x="3152774" y="2486025"/>
          <a:ext cx="4581525" cy="11620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Pour une expérience optimale, veuillez utiliser Excel 2010 ou plus récent.</a:t>
          </a:r>
        </a:p>
        <a:p>
          <a:pPr algn="l">
            <a:lnSpc>
              <a:spcPct val="100000"/>
            </a:lnSpc>
          </a:pPr>
          <a:endParaRPr lang="en-US" altLang="ja-JP" sz="1300" b="0">
            <a:solidFill>
              <a:schemeClr val="bg1"/>
            </a:solidFill>
            <a:effectLst/>
            <a:latin typeface="Franklin Gothic Book" panose="020B0503020102020204" pitchFamily="34" charset="0"/>
            <a:ea typeface="+mn-ea"/>
            <a:cs typeface="+mn-cs"/>
          </a:endParaRPr>
        </a:p>
        <a:p>
          <a:pPr algn="l">
            <a:lnSpc>
              <a:spcPct val="100000"/>
            </a:lnSpc>
          </a:pPr>
          <a:r>
            <a:rPr lang="en-US" altLang="ja-JP" sz="1300" b="0">
              <a:solidFill>
                <a:schemeClr val="bg1"/>
              </a:solidFill>
              <a:effectLst/>
              <a:latin typeface="Franklin Gothic Book" panose="020B0503020102020204" pitchFamily="34" charset="0"/>
              <a:ea typeface="+mn-ea"/>
              <a:cs typeface="+mn-cs"/>
            </a:rPr>
            <a:t>Si vous souhaitez néanmoins utiliser cet outil sous Excel 2007, veuillez utiliser la</a:t>
          </a:r>
          <a:r>
            <a:rPr lang="en-US" altLang="ja-JP" sz="1300" b="0" baseline="0">
              <a:solidFill>
                <a:schemeClr val="bg1"/>
              </a:solidFill>
              <a:effectLst/>
              <a:latin typeface="Franklin Gothic Book" panose="020B0503020102020204" pitchFamily="34" charset="0"/>
              <a:ea typeface="+mn-ea"/>
              <a:cs typeface="+mn-cs"/>
            </a:rPr>
            <a:t> version compatible qui vous a été fourni lors du téléchargement.</a:t>
          </a:r>
          <a:endParaRPr lang="en-US" altLang="ja-JP" sz="1300" b="0">
            <a:solidFill>
              <a:schemeClr val="bg1"/>
            </a:solidFill>
            <a:effectLst/>
            <a:latin typeface="Franklin Gothic Book" panose="020B0503020102020204" pitchFamily="34" charset="0"/>
            <a:ea typeface="+mn-ea"/>
            <a:cs typeface="+mn-cs"/>
          </a:endParaRPr>
        </a:p>
      </xdr:txBody>
    </xdr:sp>
    <xdr:clientData fPrintsWithSheet="0"/>
  </xdr:twoCellAnchor>
  <xdr:twoCellAnchor editAs="absolute">
    <xdr:from>
      <xdr:col>8</xdr:col>
      <xdr:colOff>165100</xdr:colOff>
      <xdr:row>18</xdr:row>
      <xdr:rowOff>92075</xdr:rowOff>
    </xdr:from>
    <xdr:to>
      <xdr:col>21</xdr:col>
      <xdr:colOff>76200</xdr:colOff>
      <xdr:row>29</xdr:row>
      <xdr:rowOff>143673</xdr:rowOff>
    </xdr:to>
    <xdr:pic>
      <xdr:nvPicPr>
        <xdr:cNvPr id="24" name="mac-macro" descr="http://media.tumblr.com/tumblr_m43m4uCE5C1qd9o7r.png" hidden="1">
          <a:extLst>
            <a:ext uri="{FF2B5EF4-FFF2-40B4-BE49-F238E27FC236}">
              <a16:creationId xmlns:a16="http://schemas.microsoft.com/office/drawing/2014/main" id="{00000000-0008-0000-0400-000018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2908300" y="3025775"/>
          <a:ext cx="4368800" cy="1832773"/>
        </a:xfrm>
        <a:prstGeom prst="rect">
          <a:avLst/>
        </a:prstGeom>
        <a:noFill/>
      </xdr:spPr>
    </xdr:pic>
    <xdr:clientData fPrintsWithSheet="0"/>
  </xdr:twoCellAnchor>
  <xdr:twoCellAnchor editAs="oneCell">
    <xdr:from>
      <xdr:col>10</xdr:col>
      <xdr:colOff>114300</xdr:colOff>
      <xdr:row>2</xdr:row>
      <xdr:rowOff>85725</xdr:rowOff>
    </xdr:from>
    <xdr:to>
      <xdr:col>11</xdr:col>
      <xdr:colOff>76200</xdr:colOff>
      <xdr:row>4</xdr:row>
      <xdr:rowOff>138675</xdr:rowOff>
    </xdr:to>
    <xdr:pic>
      <xdr:nvPicPr>
        <xdr:cNvPr id="25" name="mac-start" descr="lock.png" hidden="1">
          <a:extLst>
            <a:ext uri="{FF2B5EF4-FFF2-40B4-BE49-F238E27FC236}">
              <a16:creationId xmlns:a16="http://schemas.microsoft.com/office/drawing/2014/main" id="{00000000-0008-0000-0400-000019000000}"/>
            </a:ext>
          </a:extLst>
        </xdr:cNvPr>
        <xdr:cNvPicPr>
          <a:picLocks/>
        </xdr:cNvPicPr>
      </xdr:nvPicPr>
      <xdr:blipFill>
        <a:blip xmlns:r="http://schemas.openxmlformats.org/officeDocument/2006/relationships" r:embed="rId5"/>
        <a:stretch>
          <a:fillRect/>
        </a:stretch>
      </xdr:blipFill>
      <xdr:spPr>
        <a:xfrm>
          <a:off x="3543300" y="409575"/>
          <a:ext cx="304800" cy="376800"/>
        </a:xfrm>
        <a:prstGeom prst="rect">
          <a:avLst/>
        </a:prstGeom>
      </xdr:spPr>
    </xdr:pic>
    <xdr:clientData/>
  </xdr:twoCellAnchor>
  <xdr:twoCellAnchor editAs="absolute">
    <xdr:from>
      <xdr:col>10</xdr:col>
      <xdr:colOff>66675</xdr:colOff>
      <xdr:row>13</xdr:row>
      <xdr:rowOff>23813</xdr:rowOff>
    </xdr:from>
    <xdr:to>
      <xdr:col>20</xdr:col>
      <xdr:colOff>314325</xdr:colOff>
      <xdr:row>14</xdr:row>
      <xdr:rowOff>143148</xdr:rowOff>
    </xdr:to>
    <xdr:sp macro="" textlink="">
      <xdr:nvSpPr>
        <xdr:cNvPr id="26" name="start_3">
          <a:extLst>
            <a:ext uri="{FF2B5EF4-FFF2-40B4-BE49-F238E27FC236}">
              <a16:creationId xmlns:a16="http://schemas.microsoft.com/office/drawing/2014/main" id="{00000000-0008-0000-0400-00001A000000}"/>
            </a:ext>
          </a:extLst>
        </xdr:cNvPr>
        <xdr:cNvSpPr txBox="1"/>
      </xdr:nvSpPr>
      <xdr:spPr>
        <a:xfrm>
          <a:off x="3495675" y="2128838"/>
          <a:ext cx="3676650"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Vous utilisez 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2007</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520</xdr:col>
      <xdr:colOff>301070</xdr:colOff>
      <xdr:row>222</xdr:row>
      <xdr:rowOff>21694</xdr:rowOff>
    </xdr:to>
    <xdr:sp macro="" textlink="">
      <xdr:nvSpPr>
        <xdr:cNvPr id="15" name="start_9">
          <a:extLst>
            <a:ext uri="{FF2B5EF4-FFF2-40B4-BE49-F238E27FC236}">
              <a16:creationId xmlns:a16="http://schemas.microsoft.com/office/drawing/2014/main" id="{00000000-0008-0000-0500-00000F000000}"/>
            </a:ext>
          </a:extLst>
        </xdr:cNvPr>
        <xdr:cNvSpPr/>
      </xdr:nvSpPr>
      <xdr:spPr>
        <a:xfrm>
          <a:off x="0" y="0"/>
          <a:ext cx="178609070" cy="35988094"/>
        </a:xfrm>
        <a:prstGeom prst="rect">
          <a:avLst/>
        </a:prstGeom>
        <a:blipFill dpi="0" rotWithShape="1">
          <a:blip xmlns:r="http://schemas.openxmlformats.org/officeDocument/2006/relationships" r:embed="rId1"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7</xdr:col>
      <xdr:colOff>171451</xdr:colOff>
      <xdr:row>2</xdr:row>
      <xdr:rowOff>0</xdr:rowOff>
    </xdr:from>
    <xdr:to>
      <xdr:col>21</xdr:col>
      <xdr:colOff>152401</xdr:colOff>
      <xdr:row>16</xdr:row>
      <xdr:rowOff>0</xdr:rowOff>
    </xdr:to>
    <xdr:sp macro="" textlink="">
      <xdr:nvSpPr>
        <xdr:cNvPr id="16" name="start_1">
          <a:extLst>
            <a:ext uri="{FF2B5EF4-FFF2-40B4-BE49-F238E27FC236}">
              <a16:creationId xmlns:a16="http://schemas.microsoft.com/office/drawing/2014/main" id="{00000000-0008-0000-0500-000010000000}"/>
            </a:ext>
          </a:extLst>
        </xdr:cNvPr>
        <xdr:cNvSpPr/>
      </xdr:nvSpPr>
      <xdr:spPr>
        <a:xfrm>
          <a:off x="2571751" y="323850"/>
          <a:ext cx="4781550" cy="2286000"/>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8</xdr:col>
      <xdr:colOff>76200</xdr:colOff>
      <xdr:row>2</xdr:row>
      <xdr:rowOff>80963</xdr:rowOff>
    </xdr:from>
    <xdr:to>
      <xdr:col>19</xdr:col>
      <xdr:colOff>207869</xdr:colOff>
      <xdr:row>4</xdr:row>
      <xdr:rowOff>57423</xdr:rowOff>
    </xdr:to>
    <xdr:sp macro="" textlink="">
      <xdr:nvSpPr>
        <xdr:cNvPr id="19" name="start_3">
          <a:extLst>
            <a:ext uri="{FF2B5EF4-FFF2-40B4-BE49-F238E27FC236}">
              <a16:creationId xmlns:a16="http://schemas.microsoft.com/office/drawing/2014/main" id="{00000000-0008-0000-0500-000013000000}"/>
            </a:ext>
          </a:extLst>
        </xdr:cNvPr>
        <xdr:cNvSpPr txBox="1"/>
      </xdr:nvSpPr>
      <xdr:spPr>
        <a:xfrm>
          <a:off x="2819400" y="404813"/>
          <a:ext cx="3903569"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Macros</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9</xdr:col>
      <xdr:colOff>57150</xdr:colOff>
      <xdr:row>5</xdr:row>
      <xdr:rowOff>47625</xdr:rowOff>
    </xdr:from>
    <xdr:to>
      <xdr:col>20</xdr:col>
      <xdr:colOff>304800</xdr:colOff>
      <xdr:row>6</xdr:row>
      <xdr:rowOff>160451</xdr:rowOff>
    </xdr:to>
    <xdr:sp macro="" textlink="">
      <xdr:nvSpPr>
        <xdr:cNvPr id="4" name="start_4">
          <a:extLst>
            <a:ext uri="{FF2B5EF4-FFF2-40B4-BE49-F238E27FC236}">
              <a16:creationId xmlns:a16="http://schemas.microsoft.com/office/drawing/2014/main" id="{00000000-0008-0000-0500-000004000000}"/>
            </a:ext>
          </a:extLst>
        </xdr:cNvPr>
        <xdr:cNvSpPr txBox="1"/>
      </xdr:nvSpPr>
      <xdr:spPr>
        <a:xfrm>
          <a:off x="3143250" y="857250"/>
          <a:ext cx="4019550" cy="2747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For an enhanced experience, please enable macros</a:t>
          </a:r>
        </a:p>
      </xdr:txBody>
    </xdr:sp>
    <xdr:clientData fPrintsWithSheet="0"/>
  </xdr:twoCellAnchor>
  <xdr:twoCellAnchor editAs="absolute">
    <xdr:from>
      <xdr:col>8</xdr:col>
      <xdr:colOff>0</xdr:colOff>
      <xdr:row>5</xdr:row>
      <xdr:rowOff>76200</xdr:rowOff>
    </xdr:from>
    <xdr:to>
      <xdr:col>8</xdr:col>
      <xdr:colOff>304800</xdr:colOff>
      <xdr:row>7</xdr:row>
      <xdr:rowOff>57150</xdr:rowOff>
    </xdr:to>
    <xdr:pic>
      <xdr:nvPicPr>
        <xdr:cNvPr id="12" name="start_5" descr="britain, flag, great icon">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2743200" y="885825"/>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8</xdr:col>
      <xdr:colOff>0</xdr:colOff>
      <xdr:row>7</xdr:row>
      <xdr:rowOff>104775</xdr:rowOff>
    </xdr:from>
    <xdr:to>
      <xdr:col>8</xdr:col>
      <xdr:colOff>304800</xdr:colOff>
      <xdr:row>9</xdr:row>
      <xdr:rowOff>85725</xdr:rowOff>
    </xdr:to>
    <xdr:pic>
      <xdr:nvPicPr>
        <xdr:cNvPr id="13" name="start_6" descr="flag, france icon">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2743200" y="1238250"/>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17</xdr:col>
      <xdr:colOff>0</xdr:colOff>
      <xdr:row>12</xdr:row>
      <xdr:rowOff>0</xdr:rowOff>
    </xdr:from>
    <xdr:to>
      <xdr:col>17</xdr:col>
      <xdr:colOff>9525</xdr:colOff>
      <xdr:row>12</xdr:row>
      <xdr:rowOff>9525</xdr:rowOff>
    </xdr:to>
    <xdr:sp macro="" textlink="">
      <xdr:nvSpPr>
        <xdr:cNvPr id="3073" name="AutoShape 1" descr="https://d.adroll.com/cm/r/out">
          <a:extLst>
            <a:ext uri="{FF2B5EF4-FFF2-40B4-BE49-F238E27FC236}">
              <a16:creationId xmlns:a16="http://schemas.microsoft.com/office/drawing/2014/main" id="{00000000-0008-0000-0500-0000010C0000}"/>
            </a:ext>
          </a:extLst>
        </xdr:cNvPr>
        <xdr:cNvSpPr>
          <a:spLocks noChangeAspect="1" noChangeArrowheads="1"/>
        </xdr:cNvSpPr>
      </xdr:nvSpPr>
      <xdr:spPr bwMode="auto">
        <a:xfrm>
          <a:off x="58293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19050</xdr:colOff>
      <xdr:row>12</xdr:row>
      <xdr:rowOff>0</xdr:rowOff>
    </xdr:from>
    <xdr:to>
      <xdr:col>17</xdr:col>
      <xdr:colOff>28575</xdr:colOff>
      <xdr:row>12</xdr:row>
      <xdr:rowOff>9525</xdr:rowOff>
    </xdr:to>
    <xdr:sp macro="" textlink="">
      <xdr:nvSpPr>
        <xdr:cNvPr id="3074" name="AutoShape 2" descr="https://d.adroll.com/cm/f/out">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584835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38100</xdr:colOff>
      <xdr:row>12</xdr:row>
      <xdr:rowOff>0</xdr:rowOff>
    </xdr:from>
    <xdr:to>
      <xdr:col>17</xdr:col>
      <xdr:colOff>47625</xdr:colOff>
      <xdr:row>12</xdr:row>
      <xdr:rowOff>9525</xdr:rowOff>
    </xdr:to>
    <xdr:sp macro="" textlink="">
      <xdr:nvSpPr>
        <xdr:cNvPr id="3075" name="AutoShape 3" descr="https://d.adroll.com/cm/b/out">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58674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57150</xdr:colOff>
      <xdr:row>12</xdr:row>
      <xdr:rowOff>0</xdr:rowOff>
    </xdr:from>
    <xdr:to>
      <xdr:col>17</xdr:col>
      <xdr:colOff>66675</xdr:colOff>
      <xdr:row>12</xdr:row>
      <xdr:rowOff>9525</xdr:rowOff>
    </xdr:to>
    <xdr:sp macro="" textlink="">
      <xdr:nvSpPr>
        <xdr:cNvPr id="3076" name="AutoShape 4" descr="https://d.adroll.com/cm/w/out">
          <a:extLst>
            <a:ext uri="{FF2B5EF4-FFF2-40B4-BE49-F238E27FC236}">
              <a16:creationId xmlns:a16="http://schemas.microsoft.com/office/drawing/2014/main" id="{00000000-0008-0000-0500-0000040C0000}"/>
            </a:ext>
          </a:extLst>
        </xdr:cNvPr>
        <xdr:cNvSpPr>
          <a:spLocks noChangeAspect="1" noChangeArrowheads="1"/>
        </xdr:cNvSpPr>
      </xdr:nvSpPr>
      <xdr:spPr bwMode="auto">
        <a:xfrm>
          <a:off x="588645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76200</xdr:colOff>
      <xdr:row>12</xdr:row>
      <xdr:rowOff>0</xdr:rowOff>
    </xdr:from>
    <xdr:to>
      <xdr:col>17</xdr:col>
      <xdr:colOff>85725</xdr:colOff>
      <xdr:row>12</xdr:row>
      <xdr:rowOff>9525</xdr:rowOff>
    </xdr:to>
    <xdr:sp macro="" textlink="">
      <xdr:nvSpPr>
        <xdr:cNvPr id="3077" name="AutoShape 5" descr="https://d.adroll.com/cm/x/out">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59055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95250</xdr:colOff>
      <xdr:row>12</xdr:row>
      <xdr:rowOff>0</xdr:rowOff>
    </xdr:from>
    <xdr:to>
      <xdr:col>17</xdr:col>
      <xdr:colOff>104775</xdr:colOff>
      <xdr:row>12</xdr:row>
      <xdr:rowOff>9525</xdr:rowOff>
    </xdr:to>
    <xdr:sp macro="" textlink="">
      <xdr:nvSpPr>
        <xdr:cNvPr id="3078" name="AutoShape 6" descr="https://d.adroll.com/cm/l/out">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592455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114300</xdr:colOff>
      <xdr:row>12</xdr:row>
      <xdr:rowOff>0</xdr:rowOff>
    </xdr:from>
    <xdr:to>
      <xdr:col>17</xdr:col>
      <xdr:colOff>123825</xdr:colOff>
      <xdr:row>12</xdr:row>
      <xdr:rowOff>9525</xdr:rowOff>
    </xdr:to>
    <xdr:sp macro="" textlink="">
      <xdr:nvSpPr>
        <xdr:cNvPr id="3079" name="AutoShape 7" descr="https://www.googleadservices.com/pagead/conversion/976682315/?label=UbUUCOa0o1YQy_rb0QM&amp;guid=ON&amp;script=0&amp;ord=5199583842723983">
          <a:extLst>
            <a:ext uri="{FF2B5EF4-FFF2-40B4-BE49-F238E27FC236}">
              <a16:creationId xmlns:a16="http://schemas.microsoft.com/office/drawing/2014/main" id="{00000000-0008-0000-0500-0000070C0000}"/>
            </a:ext>
          </a:extLst>
        </xdr:cNvPr>
        <xdr:cNvSpPr>
          <a:spLocks noChangeAspect="1" noChangeArrowheads="1"/>
        </xdr:cNvSpPr>
      </xdr:nvSpPr>
      <xdr:spPr bwMode="auto">
        <a:xfrm>
          <a:off x="59436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133350</xdr:colOff>
      <xdr:row>12</xdr:row>
      <xdr:rowOff>0</xdr:rowOff>
    </xdr:from>
    <xdr:to>
      <xdr:col>17</xdr:col>
      <xdr:colOff>142875</xdr:colOff>
      <xdr:row>12</xdr:row>
      <xdr:rowOff>9525</xdr:rowOff>
    </xdr:to>
    <xdr:sp macro="" textlink="">
      <xdr:nvSpPr>
        <xdr:cNvPr id="3080" name="AutoShape 8" descr="https://d.adroll.com/cm/g/out?google_nid=adroll5">
          <a:extLst>
            <a:ext uri="{FF2B5EF4-FFF2-40B4-BE49-F238E27FC236}">
              <a16:creationId xmlns:a16="http://schemas.microsoft.com/office/drawing/2014/main" id="{00000000-0008-0000-0500-0000080C0000}"/>
            </a:ext>
          </a:extLst>
        </xdr:cNvPr>
        <xdr:cNvSpPr>
          <a:spLocks noChangeAspect="1" noChangeArrowheads="1"/>
        </xdr:cNvSpPr>
      </xdr:nvSpPr>
      <xdr:spPr bwMode="auto">
        <a:xfrm>
          <a:off x="596265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17</xdr:col>
      <xdr:colOff>152400</xdr:colOff>
      <xdr:row>12</xdr:row>
      <xdr:rowOff>0</xdr:rowOff>
    </xdr:from>
    <xdr:to>
      <xdr:col>17</xdr:col>
      <xdr:colOff>161925</xdr:colOff>
      <xdr:row>12</xdr:row>
      <xdr:rowOff>9525</xdr:rowOff>
    </xdr:to>
    <xdr:sp macro="" textlink="">
      <xdr:nvSpPr>
        <xdr:cNvPr id="3081" name="AutoShape 9" descr="https://secure.adnxs.com/seg?add=2035784&amp;t=2">
          <a:extLst>
            <a:ext uri="{FF2B5EF4-FFF2-40B4-BE49-F238E27FC236}">
              <a16:creationId xmlns:a16="http://schemas.microsoft.com/office/drawing/2014/main" id="{00000000-0008-0000-0500-0000090C0000}"/>
            </a:ext>
          </a:extLst>
        </xdr:cNvPr>
        <xdr:cNvSpPr>
          <a:spLocks noChangeAspect="1" noChangeArrowheads="1"/>
        </xdr:cNvSpPr>
      </xdr:nvSpPr>
      <xdr:spPr bwMode="auto">
        <a:xfrm>
          <a:off x="5981700" y="1943100"/>
          <a:ext cx="9525" cy="9525"/>
        </a:xfrm>
        <a:prstGeom prst="rect">
          <a:avLst/>
        </a:prstGeom>
        <a:noFill/>
        <a:extLst>
          <a:ext uri="{909E8E84-426E-40dd-AFC4-6F175D3DCCD1}">
            <a14:hiddenFill xmlns:a14="http://schemas.microsoft.com/office/drawing/2010/main" xmlns="">
              <a:solidFill>
                <a:srgbClr val="FFFFFF"/>
              </a:solidFill>
            </a14:hiddenFill>
          </a:ext>
        </a:extLst>
      </xdr:spPr>
    </xdr:sp>
    <xdr:clientData fPrintsWithSheet="0"/>
  </xdr:twoCellAnchor>
  <xdr:twoCellAnchor editAs="absolute">
    <xdr:from>
      <xdr:col>8</xdr:col>
      <xdr:colOff>238125</xdr:colOff>
      <xdr:row>17</xdr:row>
      <xdr:rowOff>123825</xdr:rowOff>
    </xdr:from>
    <xdr:to>
      <xdr:col>20</xdr:col>
      <xdr:colOff>95250</xdr:colOff>
      <xdr:row>25</xdr:row>
      <xdr:rowOff>123825</xdr:rowOff>
    </xdr:to>
    <xdr:pic>
      <xdr:nvPicPr>
        <xdr:cNvPr id="8195" name="PC-macro" descr="http://media.tumblr.com/tumblr_m43m4uCE5C1qd9o7r.png">
          <a:extLst>
            <a:ext uri="{FF2B5EF4-FFF2-40B4-BE49-F238E27FC236}">
              <a16:creationId xmlns:a16="http://schemas.microsoft.com/office/drawing/2014/main" id="{00000000-0008-0000-0500-0000032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2981325" y="2895600"/>
          <a:ext cx="3971925" cy="1295400"/>
        </a:xfrm>
        <a:prstGeom prst="rect">
          <a:avLst/>
        </a:prstGeom>
        <a:noFill/>
      </xdr:spPr>
    </xdr:pic>
    <xdr:clientData fPrintsWithSheet="0"/>
  </xdr:twoCellAnchor>
  <xdr:twoCellAnchor editAs="absolute">
    <xdr:from>
      <xdr:col>8</xdr:col>
      <xdr:colOff>19050</xdr:colOff>
      <xdr:row>10</xdr:row>
      <xdr:rowOff>0</xdr:rowOff>
    </xdr:from>
    <xdr:to>
      <xdr:col>8</xdr:col>
      <xdr:colOff>304800</xdr:colOff>
      <xdr:row>11</xdr:row>
      <xdr:rowOff>128588</xdr:rowOff>
    </xdr:to>
    <xdr:pic>
      <xdr:nvPicPr>
        <xdr:cNvPr id="25" name="start_7" descr="flag, spain icon">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2762250" y="1619250"/>
          <a:ext cx="285750" cy="290513"/>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absolute">
    <xdr:from>
      <xdr:col>8</xdr:col>
      <xdr:colOff>28575</xdr:colOff>
      <xdr:row>12</xdr:row>
      <xdr:rowOff>61913</xdr:rowOff>
    </xdr:from>
    <xdr:to>
      <xdr:col>8</xdr:col>
      <xdr:colOff>314325</xdr:colOff>
      <xdr:row>14</xdr:row>
      <xdr:rowOff>26194</xdr:rowOff>
    </xdr:to>
    <xdr:pic>
      <xdr:nvPicPr>
        <xdr:cNvPr id="26" name="start_8" descr="flag, germany icon">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a:ext>
          </a:extLst>
        </a:blip>
        <a:srcRect/>
        <a:stretch>
          <a:fillRect/>
        </a:stretch>
      </xdr:blipFill>
      <xdr:spPr bwMode="auto">
        <a:xfrm>
          <a:off x="2771775" y="2005013"/>
          <a:ext cx="285750" cy="307181"/>
        </a:xfrm>
        <a:prstGeom prst="rect">
          <a:avLst/>
        </a:prstGeom>
        <a:noFill/>
        <a:extLst>
          <a:ext uri="{909E8E84-426E-40dd-AFC4-6F175D3DCCD1}">
            <a14:hiddenFill xmlns:a14="http://schemas.microsoft.com/office/drawing/2010/main" xmlns="">
              <a:solidFill>
                <a:srgbClr val="FFFFFF"/>
              </a:solidFill>
            </a14:hiddenFill>
          </a:ext>
        </a:extLst>
      </xdr:spPr>
    </xdr:pic>
    <xdr:clientData fPrintsWithSheet="0"/>
  </xdr:twoCellAnchor>
  <xdr:twoCellAnchor editAs="oneCell">
    <xdr:from>
      <xdr:col>10</xdr:col>
      <xdr:colOff>114300</xdr:colOff>
      <xdr:row>2</xdr:row>
      <xdr:rowOff>85725</xdr:rowOff>
    </xdr:from>
    <xdr:to>
      <xdr:col>11</xdr:col>
      <xdr:colOff>76200</xdr:colOff>
      <xdr:row>4</xdr:row>
      <xdr:rowOff>66675</xdr:rowOff>
    </xdr:to>
    <xdr:pic>
      <xdr:nvPicPr>
        <xdr:cNvPr id="21" name="PC-start" descr="lock.png">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7"/>
        <a:stretch>
          <a:fillRect/>
        </a:stretch>
      </xdr:blipFill>
      <xdr:spPr>
        <a:xfrm>
          <a:off x="3543300" y="409575"/>
          <a:ext cx="304800" cy="304800"/>
        </a:xfrm>
        <a:prstGeom prst="rect">
          <a:avLst/>
        </a:prstGeom>
      </xdr:spPr>
    </xdr:pic>
    <xdr:clientData/>
  </xdr:twoCellAnchor>
  <xdr:twoCellAnchor editAs="absolute">
    <xdr:from>
      <xdr:col>9</xdr:col>
      <xdr:colOff>28575</xdr:colOff>
      <xdr:row>12</xdr:row>
      <xdr:rowOff>0</xdr:rowOff>
    </xdr:from>
    <xdr:to>
      <xdr:col>20</xdr:col>
      <xdr:colOff>276225</xdr:colOff>
      <xdr:row>14</xdr:row>
      <xdr:rowOff>0</xdr:rowOff>
    </xdr:to>
    <xdr:sp macro="" textlink="">
      <xdr:nvSpPr>
        <xdr:cNvPr id="22" name="start_4">
          <a:extLst>
            <a:ext uri="{FF2B5EF4-FFF2-40B4-BE49-F238E27FC236}">
              <a16:creationId xmlns:a16="http://schemas.microsoft.com/office/drawing/2014/main" id="{00000000-0008-0000-0500-000016000000}"/>
            </a:ext>
          </a:extLst>
        </xdr:cNvPr>
        <xdr:cNvSpPr txBox="1"/>
      </xdr:nvSpPr>
      <xdr:spPr>
        <a:xfrm>
          <a:off x="3114675" y="1943100"/>
          <a:ext cx="4019550" cy="3429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rtl="0"/>
          <a:r>
            <a:rPr lang="de-DE" altLang="ja-JP" sz="1300" b="0">
              <a:solidFill>
                <a:schemeClr val="bg1"/>
              </a:solidFill>
              <a:effectLst/>
              <a:latin typeface="Franklin Gothic Book" panose="020B0503020102020204" pitchFamily="34" charset="0"/>
              <a:ea typeface="+mn-ea"/>
              <a:cs typeface="+mn-cs"/>
            </a:rPr>
            <a:t>Für eine erweiterte Erfahrung, bitte aktivieren Sie Makros</a:t>
          </a:r>
        </a:p>
      </xdr:txBody>
    </xdr:sp>
    <xdr:clientData fPrintsWithSheet="0"/>
  </xdr:twoCellAnchor>
  <xdr:twoCellAnchor editAs="absolute">
    <xdr:from>
      <xdr:col>9</xdr:col>
      <xdr:colOff>28575</xdr:colOff>
      <xdr:row>7</xdr:row>
      <xdr:rowOff>76200</xdr:rowOff>
    </xdr:from>
    <xdr:to>
      <xdr:col>20</xdr:col>
      <xdr:colOff>276225</xdr:colOff>
      <xdr:row>9</xdr:row>
      <xdr:rowOff>57150</xdr:rowOff>
    </xdr:to>
    <xdr:sp macro="" textlink="">
      <xdr:nvSpPr>
        <xdr:cNvPr id="23" name="start_4">
          <a:extLst>
            <a:ext uri="{FF2B5EF4-FFF2-40B4-BE49-F238E27FC236}">
              <a16:creationId xmlns:a16="http://schemas.microsoft.com/office/drawing/2014/main" id="{00000000-0008-0000-0500-000017000000}"/>
            </a:ext>
          </a:extLst>
        </xdr:cNvPr>
        <xdr:cNvSpPr txBox="1"/>
      </xdr:nvSpPr>
      <xdr:spPr>
        <a:xfrm>
          <a:off x="3114675" y="1209675"/>
          <a:ext cx="4019550" cy="3048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Pour une expérience optimale, veuillez activer les macros</a:t>
          </a:r>
        </a:p>
      </xdr:txBody>
    </xdr:sp>
    <xdr:clientData fPrintsWithSheet="0"/>
  </xdr:twoCellAnchor>
  <xdr:twoCellAnchor editAs="absolute">
    <xdr:from>
      <xdr:col>9</xdr:col>
      <xdr:colOff>28575</xdr:colOff>
      <xdr:row>9</xdr:row>
      <xdr:rowOff>95249</xdr:rowOff>
    </xdr:from>
    <xdr:to>
      <xdr:col>20</xdr:col>
      <xdr:colOff>276225</xdr:colOff>
      <xdr:row>11</xdr:row>
      <xdr:rowOff>85724</xdr:rowOff>
    </xdr:to>
    <xdr:sp macro="" textlink="">
      <xdr:nvSpPr>
        <xdr:cNvPr id="24" name="start_4">
          <a:extLst>
            <a:ext uri="{FF2B5EF4-FFF2-40B4-BE49-F238E27FC236}">
              <a16:creationId xmlns:a16="http://schemas.microsoft.com/office/drawing/2014/main" id="{00000000-0008-0000-0500-000018000000}"/>
            </a:ext>
          </a:extLst>
        </xdr:cNvPr>
        <xdr:cNvSpPr txBox="1"/>
      </xdr:nvSpPr>
      <xdr:spPr>
        <a:xfrm>
          <a:off x="3114675" y="1552574"/>
          <a:ext cx="4019550" cy="31432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rtl="0"/>
          <a:r>
            <a:rPr lang="es-ES" altLang="ja-JP" sz="1300" b="0">
              <a:solidFill>
                <a:schemeClr val="bg1"/>
              </a:solidFill>
              <a:effectLst/>
              <a:latin typeface="Franklin Gothic Book" panose="020B0503020102020204" pitchFamily="34" charset="0"/>
              <a:ea typeface="+mn-ea"/>
              <a:cs typeface="+mn-cs"/>
            </a:rPr>
            <a:t>Para una mejor experiencia, por favor, habilite las macros</a:t>
          </a:r>
        </a:p>
      </xdr:txBody>
    </xdr:sp>
    <xdr:clientData fPrintsWithSheet="0"/>
  </xdr:twoCellAnchor>
  <xdr:twoCellAnchor editAs="absolute">
    <xdr:from>
      <xdr:col>8</xdr:col>
      <xdr:colOff>165100</xdr:colOff>
      <xdr:row>18</xdr:row>
      <xdr:rowOff>92075</xdr:rowOff>
    </xdr:from>
    <xdr:to>
      <xdr:col>21</xdr:col>
      <xdr:colOff>76200</xdr:colOff>
      <xdr:row>29</xdr:row>
      <xdr:rowOff>143673</xdr:rowOff>
    </xdr:to>
    <xdr:pic>
      <xdr:nvPicPr>
        <xdr:cNvPr id="27" name="mac-macro" descr="http://media.tumblr.com/tumblr_m43m4uCE5C1qd9o7r.png" hidden="1">
          <a:extLst>
            <a:ext uri="{FF2B5EF4-FFF2-40B4-BE49-F238E27FC236}">
              <a16:creationId xmlns:a16="http://schemas.microsoft.com/office/drawing/2014/main" id="{00000000-0008-0000-0500-00001B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3314700" y="2847975"/>
          <a:ext cx="5029200" cy="1727998"/>
        </a:xfrm>
        <a:prstGeom prst="rect">
          <a:avLst/>
        </a:prstGeom>
        <a:noFill/>
      </xdr:spPr>
    </xdr:pic>
    <xdr:clientData fPrintsWithSheet="0"/>
  </xdr:twoCellAnchor>
  <xdr:twoCellAnchor editAs="oneCell">
    <xdr:from>
      <xdr:col>10</xdr:col>
      <xdr:colOff>114300</xdr:colOff>
      <xdr:row>2</xdr:row>
      <xdr:rowOff>85725</xdr:rowOff>
    </xdr:from>
    <xdr:to>
      <xdr:col>11</xdr:col>
      <xdr:colOff>76200</xdr:colOff>
      <xdr:row>4</xdr:row>
      <xdr:rowOff>138675</xdr:rowOff>
    </xdr:to>
    <xdr:pic>
      <xdr:nvPicPr>
        <xdr:cNvPr id="28" name="mac-start" descr="lock.png" hidden="1">
          <a:extLst>
            <a:ext uri="{FF2B5EF4-FFF2-40B4-BE49-F238E27FC236}">
              <a16:creationId xmlns:a16="http://schemas.microsoft.com/office/drawing/2014/main" id="{00000000-0008-0000-0500-00001C000000}"/>
            </a:ext>
          </a:extLst>
        </xdr:cNvPr>
        <xdr:cNvPicPr>
          <a:picLocks/>
        </xdr:cNvPicPr>
      </xdr:nvPicPr>
      <xdr:blipFill>
        <a:blip xmlns:r="http://schemas.openxmlformats.org/officeDocument/2006/relationships" r:embed="rId7"/>
        <a:stretch>
          <a:fillRect/>
        </a:stretch>
      </xdr:blipFill>
      <xdr:spPr>
        <a:xfrm>
          <a:off x="4051300" y="390525"/>
          <a:ext cx="355600" cy="357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145</xdr:col>
      <xdr:colOff>90750</xdr:colOff>
      <xdr:row>222</xdr:row>
      <xdr:rowOff>52650</xdr:rowOff>
    </xdr:to>
    <xdr:sp macro="" textlink="">
      <xdr:nvSpPr>
        <xdr:cNvPr id="4" name="正方形/長方形 3">
          <a:extLst>
            <a:ext uri="{FF2B5EF4-FFF2-40B4-BE49-F238E27FC236}">
              <a16:creationId xmlns:a16="http://schemas.microsoft.com/office/drawing/2014/main" id="{00000000-0008-0000-0600-000004000000}"/>
            </a:ext>
          </a:extLst>
        </xdr:cNvPr>
        <xdr:cNvSpPr/>
      </xdr:nvSpPr>
      <xdr:spPr>
        <a:xfrm>
          <a:off x="0" y="0"/>
          <a:ext cx="36000000" cy="36000000"/>
        </a:xfrm>
        <a:prstGeom prst="rect">
          <a:avLst/>
        </a:prstGeom>
        <a:blipFill dpi="0" rotWithShape="1">
          <a:blip xmlns:r="http://schemas.openxmlformats.org/officeDocument/2006/relationships" r:embed="rId1" cstate="print"/>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0</xdr:col>
      <xdr:colOff>0</xdr:colOff>
      <xdr:row>0</xdr:row>
      <xdr:rowOff>0</xdr:rowOff>
    </xdr:from>
    <xdr:to>
      <xdr:col>145</xdr:col>
      <xdr:colOff>90750</xdr:colOff>
      <xdr:row>222</xdr:row>
      <xdr:rowOff>52650</xdr:rowOff>
    </xdr:to>
    <xdr:sp macro="" textlink="">
      <xdr:nvSpPr>
        <xdr:cNvPr id="2" name="bg">
          <a:extLst>
            <a:ext uri="{FF2B5EF4-FFF2-40B4-BE49-F238E27FC236}">
              <a16:creationId xmlns:a16="http://schemas.microsoft.com/office/drawing/2014/main" id="{00000000-0008-0000-0600-000002000000}"/>
            </a:ext>
          </a:extLst>
        </xdr:cNvPr>
        <xdr:cNvSpPr/>
      </xdr:nvSpPr>
      <xdr:spPr>
        <a:xfrm>
          <a:off x="0" y="0"/>
          <a:ext cx="36000000" cy="36000000"/>
        </a:xfrm>
        <a:prstGeom prst="rect">
          <a:avLst/>
        </a:prstGeom>
        <a:solidFill>
          <a:schemeClr val="bg1">
            <a:lumMod val="65000"/>
            <a:alpha val="86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9</xdr:col>
      <xdr:colOff>101601</xdr:colOff>
      <xdr:row>3</xdr:row>
      <xdr:rowOff>85724</xdr:rowOff>
    </xdr:from>
    <xdr:to>
      <xdr:col>25</xdr:col>
      <xdr:colOff>238125</xdr:colOff>
      <xdr:row>25</xdr:row>
      <xdr:rowOff>38099</xdr:rowOff>
    </xdr:to>
    <xdr:sp macro="" textlink="">
      <xdr:nvSpPr>
        <xdr:cNvPr id="5" name="Forme_ZZ4">
          <a:extLst>
            <a:ext uri="{FF2B5EF4-FFF2-40B4-BE49-F238E27FC236}">
              <a16:creationId xmlns:a16="http://schemas.microsoft.com/office/drawing/2014/main" id="{00000000-0008-0000-0600-000005000000}"/>
            </a:ext>
          </a:extLst>
        </xdr:cNvPr>
        <xdr:cNvSpPr/>
      </xdr:nvSpPr>
      <xdr:spPr>
        <a:xfrm>
          <a:off x="2616201" y="542924"/>
          <a:ext cx="4606924" cy="3305175"/>
        </a:xfrm>
        <a:prstGeom prst="roundRect">
          <a:avLst>
            <a:gd name="adj" fmla="val 3784"/>
          </a:avLst>
        </a:prstGeom>
        <a:gradFill>
          <a:gsLst>
            <a:gs pos="0">
              <a:schemeClr val="bg1">
                <a:lumMod val="95000"/>
                <a:alpha val="18000"/>
              </a:schemeClr>
            </a:gs>
            <a:gs pos="35000">
              <a:schemeClr val="bg1">
                <a:lumMod val="85000"/>
              </a:schemeClr>
            </a:gs>
            <a:gs pos="100000">
              <a:schemeClr val="dk1">
                <a:tint val="15000"/>
                <a:satMod val="350000"/>
                <a:alpha val="69000"/>
              </a:schemeClr>
            </a:gs>
          </a:gsLst>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167715</xdr:colOff>
      <xdr:row>4</xdr:row>
      <xdr:rowOff>59017</xdr:rowOff>
    </xdr:from>
    <xdr:to>
      <xdr:col>23</xdr:col>
      <xdr:colOff>226919</xdr:colOff>
      <xdr:row>16</xdr:row>
      <xdr:rowOff>97117</xdr:rowOff>
    </xdr:to>
    <xdr:grpSp>
      <xdr:nvGrpSpPr>
        <xdr:cNvPr id="27" name="intro_grp11">
          <a:extLst>
            <a:ext uri="{FF2B5EF4-FFF2-40B4-BE49-F238E27FC236}">
              <a16:creationId xmlns:a16="http://schemas.microsoft.com/office/drawing/2014/main" id="{00000000-0008-0000-0600-00001B000000}"/>
            </a:ext>
          </a:extLst>
        </xdr:cNvPr>
        <xdr:cNvGrpSpPr/>
      </xdr:nvGrpSpPr>
      <xdr:grpSpPr>
        <a:xfrm>
          <a:off x="2644215" y="706717"/>
          <a:ext cx="3278654" cy="1981200"/>
          <a:chOff x="-88900" y="9712325"/>
          <a:chExt cx="3317875" cy="1981199"/>
        </a:xfrm>
      </xdr:grpSpPr>
      <xdr:sp macro="[0]!Intro_Language_EN" textlink="">
        <xdr:nvSpPr>
          <xdr:cNvPr id="124" name="intro_txt3">
            <a:extLst>
              <a:ext uri="{FF2B5EF4-FFF2-40B4-BE49-F238E27FC236}">
                <a16:creationId xmlns:a16="http://schemas.microsoft.com/office/drawing/2014/main" id="{00000000-0008-0000-0600-00007C000000}"/>
              </a:ext>
            </a:extLst>
          </xdr:cNvPr>
          <xdr:cNvSpPr txBox="1"/>
        </xdr:nvSpPr>
        <xdr:spPr>
          <a:xfrm>
            <a:off x="1238250" y="10236201"/>
            <a:ext cx="1336675" cy="2603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pPr algn="l"/>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English</a:t>
            </a:r>
          </a:p>
        </xdr:txBody>
      </xdr:sp>
      <xdr:sp macro="[0]!Intro_Language_FR" textlink="">
        <xdr:nvSpPr>
          <xdr:cNvPr id="125" name="intro_txt3">
            <a:extLst>
              <a:ext uri="{FF2B5EF4-FFF2-40B4-BE49-F238E27FC236}">
                <a16:creationId xmlns:a16="http://schemas.microsoft.com/office/drawing/2014/main" id="{00000000-0008-0000-0600-00007D000000}"/>
              </a:ext>
            </a:extLst>
          </xdr:cNvPr>
          <xdr:cNvSpPr txBox="1"/>
        </xdr:nvSpPr>
        <xdr:spPr>
          <a:xfrm>
            <a:off x="1276350" y="10626724"/>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Français</a:t>
            </a:r>
          </a:p>
        </xdr:txBody>
      </xdr:sp>
      <xdr:sp macro="" textlink="">
        <xdr:nvSpPr>
          <xdr:cNvPr id="126" name="intro_txt3">
            <a:extLst>
              <a:ext uri="{FF2B5EF4-FFF2-40B4-BE49-F238E27FC236}">
                <a16:creationId xmlns:a16="http://schemas.microsoft.com/office/drawing/2014/main" id="{00000000-0008-0000-0600-00007E000000}"/>
              </a:ext>
            </a:extLst>
          </xdr:cNvPr>
          <xdr:cNvSpPr txBox="1"/>
        </xdr:nvSpPr>
        <xdr:spPr>
          <a:xfrm>
            <a:off x="-88900" y="9712325"/>
            <a:ext cx="1196975" cy="22860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600" b="0" i="0" u="none" cap="none" spc="0" baseline="0">
                <a:ln>
                  <a:noFill/>
                </a:ln>
                <a:solidFill>
                  <a:schemeClr val="tx1">
                    <a:lumMod val="75000"/>
                    <a:lumOff val="25000"/>
                  </a:schemeClr>
                </a:solidFill>
                <a:effectLst/>
                <a:latin typeface="Franklin Gothic Demi Cond" panose="020B0706030402020204" pitchFamily="34" charset="0"/>
                <a:ea typeface="Arial Unicode MS" panose="020B0604020202020204" pitchFamily="50" charset="-128"/>
                <a:cs typeface="Arial" panose="020B0604020202020204" pitchFamily="34" charset="0"/>
              </a:rPr>
              <a:t> </a:t>
            </a:r>
          </a:p>
        </xdr:txBody>
      </xdr:sp>
      <xdr:pic>
        <xdr:nvPicPr>
          <xdr:cNvPr id="103" name="lang_img1" descr="britain, flag, great icon">
            <a:extLst>
              <a:ext uri="{FF2B5EF4-FFF2-40B4-BE49-F238E27FC236}">
                <a16:creationId xmlns:a16="http://schemas.microsoft.com/office/drawing/2014/main" id="{00000000-0008-0000-0600-00006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1025525" y="10226675"/>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pic>
        <xdr:nvPicPr>
          <xdr:cNvPr id="105" name="lang_img2" descr="flag, france icon">
            <a:extLst>
              <a:ext uri="{FF2B5EF4-FFF2-40B4-BE49-F238E27FC236}">
                <a16:creationId xmlns:a16="http://schemas.microsoft.com/office/drawing/2014/main" id="{00000000-0008-0000-0600-00006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1025525" y="10598150"/>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pic>
        <xdr:nvPicPr>
          <xdr:cNvPr id="108" name="lang_img3" descr="flag, spain icon">
            <a:extLst>
              <a:ext uri="{FF2B5EF4-FFF2-40B4-BE49-F238E27FC236}">
                <a16:creationId xmlns:a16="http://schemas.microsoft.com/office/drawing/2014/main" id="{00000000-0008-0000-0600-00006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025525" y="10988675"/>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pic>
        <xdr:nvPicPr>
          <xdr:cNvPr id="110" name="lang_img4" descr="flag, germany icon">
            <a:extLst>
              <a:ext uri="{FF2B5EF4-FFF2-40B4-BE49-F238E27FC236}">
                <a16:creationId xmlns:a16="http://schemas.microsoft.com/office/drawing/2014/main" id="{00000000-0008-0000-0600-00006E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025525" y="11369675"/>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sp macro="[0]!Intro_Language_ES" textlink="">
        <xdr:nvSpPr>
          <xdr:cNvPr id="114" name="intro_txt3">
            <a:extLst>
              <a:ext uri="{FF2B5EF4-FFF2-40B4-BE49-F238E27FC236}">
                <a16:creationId xmlns:a16="http://schemas.microsoft.com/office/drawing/2014/main" id="{00000000-0008-0000-0600-000072000000}"/>
              </a:ext>
            </a:extLst>
          </xdr:cNvPr>
          <xdr:cNvSpPr txBox="1"/>
        </xdr:nvSpPr>
        <xdr:spPr>
          <a:xfrm>
            <a:off x="1285875" y="11007724"/>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a:t>
            </a:r>
            <a:r>
              <a:rPr kumimoji="1" lang="es-ES" altLang="ja-JP" sz="1400" b="0">
                <a:solidFill>
                  <a:schemeClr val="tx1"/>
                </a:solidFill>
                <a:effectLst/>
                <a:latin typeface="Franklin Gothic Medium" panose="020B0603020102020204" pitchFamily="34" charset="0"/>
                <a:ea typeface="+mn-ea"/>
                <a:cs typeface="+mn-cs"/>
              </a:rPr>
              <a:t>Español</a:t>
            </a:r>
            <a:endPar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sp macro="[0]!Intro_Language_DE" textlink="">
        <xdr:nvSpPr>
          <xdr:cNvPr id="116" name="intro_txt3">
            <a:extLst>
              <a:ext uri="{FF2B5EF4-FFF2-40B4-BE49-F238E27FC236}">
                <a16:creationId xmlns:a16="http://schemas.microsoft.com/office/drawing/2014/main" id="{00000000-0008-0000-0600-000074000000}"/>
              </a:ext>
            </a:extLst>
          </xdr:cNvPr>
          <xdr:cNvSpPr txBox="1"/>
        </xdr:nvSpPr>
        <xdr:spPr>
          <a:xfrm>
            <a:off x="1285875" y="11398249"/>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Deutsch</a:t>
            </a:r>
          </a:p>
        </xdr:txBody>
      </xdr:sp>
    </xdr:grpSp>
    <xdr:clientData fLocksWithSheet="0"/>
  </xdr:twoCellAnchor>
  <xdr:twoCellAnchor>
    <xdr:from>
      <xdr:col>10</xdr:col>
      <xdr:colOff>6350</xdr:colOff>
      <xdr:row>22</xdr:row>
      <xdr:rowOff>63500</xdr:rowOff>
    </xdr:from>
    <xdr:to>
      <xdr:col>15</xdr:col>
      <xdr:colOff>25400</xdr:colOff>
      <xdr:row>24</xdr:row>
      <xdr:rowOff>44450</xdr:rowOff>
    </xdr:to>
    <xdr:grpSp>
      <xdr:nvGrpSpPr>
        <xdr:cNvPr id="29" name="prev" hidden="1">
          <a:extLst>
            <a:ext uri="{FF2B5EF4-FFF2-40B4-BE49-F238E27FC236}">
              <a16:creationId xmlns:a16="http://schemas.microsoft.com/office/drawing/2014/main" id="{00000000-0008-0000-0600-00001D000000}"/>
            </a:ext>
          </a:extLst>
        </xdr:cNvPr>
        <xdr:cNvGrpSpPr/>
      </xdr:nvGrpSpPr>
      <xdr:grpSpPr>
        <a:xfrm>
          <a:off x="2482850" y="3625850"/>
          <a:ext cx="1257300" cy="304800"/>
          <a:chOff x="2743200" y="3352800"/>
          <a:chExt cx="1257300" cy="304800"/>
        </a:xfrm>
      </xdr:grpSpPr>
      <xdr:sp macro="[0]!Manage_Previous" textlink="" fLocksText="0">
        <xdr:nvSpPr>
          <xdr:cNvPr id="44" name="intro_txt5" hidden="1">
            <a:extLst>
              <a:ext uri="{FF2B5EF4-FFF2-40B4-BE49-F238E27FC236}">
                <a16:creationId xmlns:a16="http://schemas.microsoft.com/office/drawing/2014/main" id="{00000000-0008-0000-0600-00002C000000}"/>
              </a:ext>
            </a:extLst>
          </xdr:cNvPr>
          <xdr:cNvSpPr txBox="1"/>
        </xdr:nvSpPr>
        <xdr:spPr>
          <a:xfrm>
            <a:off x="3136900" y="3400425"/>
            <a:ext cx="863600" cy="2190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kumimoji="1" lang="en-US" altLang="ja-JP" sz="1400" b="0" i="0" u="none" cap="none" spc="0">
                <a:ln>
                  <a:noFill/>
                </a:ln>
                <a:solidFill>
                  <a:srgbClr val="F2F2F2"/>
                </a:solidFill>
                <a:effectLst>
                  <a:outerShdw blurRad="50800" dist="38100" dir="2700000" algn="tl" rotWithShape="0">
                    <a:prstClr val="black">
                      <a:alpha val="40000"/>
                    </a:prstClr>
                  </a:outerShdw>
                </a:effectLst>
                <a:latin typeface="Franklin Gothic Demi Cond" panose="020B0706030402020204" pitchFamily="34" charset="0"/>
                <a:ea typeface="Arial Unicode MS" panose="020B0604020202020204" pitchFamily="50" charset="-128"/>
                <a:cs typeface="Arial" panose="020B0604020202020204" pitchFamily="34" charset="0"/>
              </a:rPr>
              <a:t>Précédent</a:t>
            </a:r>
            <a:endParaRPr kumimoji="1" lang="ja-JP" altLang="en-US" sz="1400" b="0" i="0" u="none" cap="none" spc="0">
              <a:ln>
                <a:noFill/>
              </a:ln>
              <a:solidFill>
                <a:srgbClr val="F2F2F2"/>
              </a:solidFill>
              <a:effectLst>
                <a:outerShdw blurRad="50800" dist="38100" dir="2700000" algn="tl" rotWithShape="0">
                  <a:prstClr val="black">
                    <a:alpha val="40000"/>
                  </a:prstClr>
                </a:outerShdw>
              </a:effectLst>
              <a:latin typeface="Franklin Gothic Demi Cond" panose="020B0706030402020204" pitchFamily="34" charset="0"/>
              <a:ea typeface="Arial Unicode MS" panose="020B0604020202020204" pitchFamily="50" charset="-128"/>
              <a:cs typeface="Arial" panose="020B0604020202020204" pitchFamily="34" charset="0"/>
            </a:endParaRPr>
          </a:p>
        </xdr:txBody>
      </xdr:sp>
      <xdr:pic macro="[0]!Manage_Previous">
        <xdr:nvPicPr>
          <xdr:cNvPr id="117" name="intro_img2" descr="document, page, previous icon" hidden="1">
            <a:extLst>
              <a:ext uri="{FF2B5EF4-FFF2-40B4-BE49-F238E27FC236}">
                <a16:creationId xmlns:a16="http://schemas.microsoft.com/office/drawing/2014/main" id="{00000000-0008-0000-0600-000075000000}"/>
              </a:ext>
            </a:extLst>
          </xdr:cNvPr>
          <xdr:cNvPicPr>
            <a:picLocks noChangeAspect="1" noChangeArrowheads="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20000"/>
                    </a14:imgEffect>
                  </a14:imgLayer>
                </a14:imgProps>
              </a:ext>
              <a:ext uri="{28A0092B-C50C-407E-A947-70E740481C1C}">
                <a14:useLocalDpi xmlns:a14="http://schemas.microsoft.com/office/drawing/2010/main"/>
              </a:ext>
            </a:extLst>
          </a:blip>
          <a:srcRect/>
          <a:stretch>
            <a:fillRect/>
          </a:stretch>
        </xdr:blipFill>
        <xdr:spPr bwMode="auto">
          <a:xfrm>
            <a:off x="2743200" y="3352800"/>
            <a:ext cx="304800" cy="304800"/>
          </a:xfrm>
          <a:prstGeom prst="rect">
            <a:avLst/>
          </a:prstGeom>
          <a:noFill/>
          <a:extLst>
            <a:ext uri="{909E8E84-426E-40dd-AFC4-6F175D3DCCD1}">
              <a14:hiddenFill xmlns:a14="http://schemas.microsoft.com/office/drawing/2010/main" xmlns="">
                <a:solidFill>
                  <a:srgbClr val="FFFFFF"/>
                </a:solidFill>
              </a14:hiddenFill>
            </a:ext>
          </a:extLst>
        </xdr:spPr>
      </xdr:pic>
    </xdr:grpSp>
    <xdr:clientData fLocksWithSheet="0"/>
  </xdr:twoCellAnchor>
  <xdr:twoCellAnchor editAs="oneCell">
    <xdr:from>
      <xdr:col>15</xdr:col>
      <xdr:colOff>38100</xdr:colOff>
      <xdr:row>17</xdr:row>
      <xdr:rowOff>2400</xdr:rowOff>
    </xdr:from>
    <xdr:to>
      <xdr:col>16</xdr:col>
      <xdr:colOff>95250</xdr:colOff>
      <xdr:row>18</xdr:row>
      <xdr:rowOff>145275</xdr:rowOff>
    </xdr:to>
    <xdr:pic macro="[0]!Translate_Dutch">
      <xdr:nvPicPr>
        <xdr:cNvPr id="18" name="Imag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752850" y="2755125"/>
          <a:ext cx="304800" cy="304800"/>
        </a:xfrm>
        <a:prstGeom prst="rect">
          <a:avLst/>
        </a:prstGeom>
      </xdr:spPr>
    </xdr:pic>
    <xdr:clientData/>
  </xdr:twoCellAnchor>
  <xdr:twoCellAnchor editAs="oneCell">
    <xdr:from>
      <xdr:col>15</xdr:col>
      <xdr:colOff>35700</xdr:colOff>
      <xdr:row>19</xdr:row>
      <xdr:rowOff>76200</xdr:rowOff>
    </xdr:from>
    <xdr:to>
      <xdr:col>16</xdr:col>
      <xdr:colOff>92850</xdr:colOff>
      <xdr:row>21</xdr:row>
      <xdr:rowOff>57150</xdr:rowOff>
    </xdr:to>
    <xdr:pic macro="[0]!Translate_Portuguese">
      <xdr:nvPicPr>
        <xdr:cNvPr id="19" name="Imag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0450" y="3152775"/>
          <a:ext cx="304800" cy="304800"/>
        </a:xfrm>
        <a:prstGeom prst="rect">
          <a:avLst/>
        </a:prstGeom>
      </xdr:spPr>
    </xdr:pic>
    <xdr:clientData/>
  </xdr:twoCellAnchor>
  <xdr:twoCellAnchor>
    <xdr:from>
      <xdr:col>16</xdr:col>
      <xdr:colOff>53415</xdr:colOff>
      <xdr:row>17</xdr:row>
      <xdr:rowOff>11392</xdr:rowOff>
    </xdr:from>
    <xdr:to>
      <xdr:col>23</xdr:col>
      <xdr:colOff>239995</xdr:colOff>
      <xdr:row>18</xdr:row>
      <xdr:rowOff>144742</xdr:rowOff>
    </xdr:to>
    <xdr:sp macro="[0]!Intro_Language_NL" textlink="">
      <xdr:nvSpPr>
        <xdr:cNvPr id="20" name="intro_txt3">
          <a:extLst>
            <a:ext uri="{FF2B5EF4-FFF2-40B4-BE49-F238E27FC236}">
              <a16:creationId xmlns:a16="http://schemas.microsoft.com/office/drawing/2014/main" id="{00000000-0008-0000-0600-000014000000}"/>
            </a:ext>
          </a:extLst>
        </xdr:cNvPr>
        <xdr:cNvSpPr txBox="1"/>
      </xdr:nvSpPr>
      <xdr:spPr>
        <a:xfrm>
          <a:off x="4015815" y="2764117"/>
          <a:ext cx="192013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Deutsch</a:t>
          </a:r>
        </a:p>
      </xdr:txBody>
    </xdr:sp>
    <xdr:clientData/>
  </xdr:twoCellAnchor>
  <xdr:twoCellAnchor>
    <xdr:from>
      <xdr:col>16</xdr:col>
      <xdr:colOff>62940</xdr:colOff>
      <xdr:row>19</xdr:row>
      <xdr:rowOff>106642</xdr:rowOff>
    </xdr:from>
    <xdr:to>
      <xdr:col>24</xdr:col>
      <xdr:colOff>1870</xdr:colOff>
      <xdr:row>21</xdr:row>
      <xdr:rowOff>78067</xdr:rowOff>
    </xdr:to>
    <xdr:sp macro="[0]!Intro_Language_PO" textlink="">
      <xdr:nvSpPr>
        <xdr:cNvPr id="21" name="intro_txt3">
          <a:extLst>
            <a:ext uri="{FF2B5EF4-FFF2-40B4-BE49-F238E27FC236}">
              <a16:creationId xmlns:a16="http://schemas.microsoft.com/office/drawing/2014/main" id="{00000000-0008-0000-0600-000015000000}"/>
            </a:ext>
          </a:extLst>
        </xdr:cNvPr>
        <xdr:cNvSpPr txBox="1"/>
      </xdr:nvSpPr>
      <xdr:spPr>
        <a:xfrm>
          <a:off x="4025340" y="3183217"/>
          <a:ext cx="192013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Português</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US856"/>
  <sheetViews>
    <sheetView tabSelected="1" topLeftCell="A29" zoomScale="90" zoomScaleNormal="90" zoomScaleSheetLayoutView="85" zoomScalePageLayoutView="90" workbookViewId="0">
      <selection activeCell="AZ33" sqref="AZ33"/>
    </sheetView>
  </sheetViews>
  <sheetFormatPr baseColWidth="10" defaultColWidth="9.28515625" defaultRowHeight="12.75" customHeight="1"/>
  <cols>
    <col min="1" max="1" width="1.85546875" customWidth="1"/>
    <col min="2" max="8" width="4.140625" customWidth="1"/>
    <col min="9" max="9" width="8.7109375" customWidth="1"/>
    <col min="10" max="10" width="4.7109375" hidden="1" customWidth="1"/>
    <col min="11" max="11" width="6.28515625" customWidth="1"/>
    <col min="12" max="12" width="3" customWidth="1"/>
    <col min="13" max="14" width="6.42578125" customWidth="1"/>
    <col min="15" max="15" width="18" customWidth="1"/>
    <col min="16" max="16" width="0.5703125" hidden="1" customWidth="1"/>
    <col min="17" max="18" width="7.42578125" hidden="1" customWidth="1"/>
    <col min="19" max="19" width="10" customWidth="1"/>
    <col min="20" max="20" width="6.7109375" customWidth="1"/>
    <col min="21" max="21" width="1.42578125" customWidth="1"/>
    <col min="22" max="22" width="6.85546875" hidden="1" customWidth="1"/>
    <col min="23" max="24" width="9.42578125" hidden="1" customWidth="1"/>
    <col min="25" max="25" width="10.42578125" customWidth="1"/>
    <col min="26" max="27" width="10.42578125" hidden="1" customWidth="1"/>
    <col min="28" max="28" width="8.42578125" customWidth="1"/>
    <col min="29" max="29" width="9.42578125" hidden="1" customWidth="1"/>
    <col min="30" max="30" width="2.42578125" customWidth="1"/>
    <col min="31" max="31" width="8.42578125" hidden="1" customWidth="1"/>
    <col min="32" max="32" width="8" hidden="1" customWidth="1"/>
    <col min="33" max="33" width="4.7109375" hidden="1" customWidth="1"/>
    <col min="34" max="34" width="5" hidden="1" customWidth="1"/>
    <col min="35" max="35" width="13.85546875" hidden="1" customWidth="1"/>
    <col min="36" max="559" width="2.42578125" customWidth="1"/>
    <col min="560" max="585" width="9.28515625" customWidth="1"/>
  </cols>
  <sheetData>
    <row r="1" spans="1:565" s="133" customFormat="1">
      <c r="A1" s="44"/>
      <c r="B1" s="7"/>
      <c r="C1" s="7"/>
      <c r="D1" s="7"/>
      <c r="E1" s="7"/>
      <c r="F1" s="7"/>
      <c r="G1" s="7"/>
      <c r="H1" s="7"/>
      <c r="I1" s="7"/>
      <c r="J1" s="7"/>
      <c r="K1" s="132"/>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28"/>
      <c r="BH1" s="128"/>
      <c r="BI1" s="128"/>
      <c r="BJ1" s="128"/>
      <c r="BK1" s="128"/>
      <c r="BL1" s="128"/>
      <c r="BM1" s="128"/>
      <c r="BN1" s="128"/>
      <c r="BO1" s="128"/>
      <c r="BP1" s="128"/>
      <c r="BQ1" s="128"/>
      <c r="BR1" s="128"/>
      <c r="BS1" s="128"/>
      <c r="BT1" s="128"/>
      <c r="BU1" s="128"/>
      <c r="BV1" s="128"/>
      <c r="BW1" s="128"/>
      <c r="BX1" s="128"/>
      <c r="BY1" s="128"/>
      <c r="BZ1" s="128"/>
      <c r="CA1" s="128"/>
      <c r="CB1" s="128"/>
      <c r="CC1" s="128"/>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c r="IR1" s="7"/>
      <c r="IS1" s="7"/>
      <c r="IT1" s="7"/>
      <c r="IU1" s="7"/>
      <c r="IV1" s="7"/>
      <c r="IW1" s="7"/>
      <c r="IX1" s="7"/>
      <c r="IY1" s="7"/>
      <c r="IZ1" s="7"/>
      <c r="JA1" s="7"/>
      <c r="JB1" s="7"/>
      <c r="JC1" s="7"/>
      <c r="JD1" s="7"/>
      <c r="JE1" s="7"/>
      <c r="JF1" s="7"/>
      <c r="JG1" s="7"/>
      <c r="JH1" s="7"/>
      <c r="JI1" s="7"/>
      <c r="JJ1" s="7"/>
      <c r="JK1" s="7"/>
      <c r="JL1" s="7"/>
      <c r="JM1" s="7"/>
      <c r="JN1" s="7"/>
      <c r="JO1" s="7"/>
      <c r="JP1" s="7"/>
      <c r="JQ1" s="7"/>
      <c r="JR1" s="7"/>
      <c r="JS1" s="7"/>
      <c r="JT1" s="7"/>
      <c r="JU1" s="7"/>
      <c r="JV1" s="7"/>
      <c r="JW1" s="7"/>
      <c r="JX1" s="7"/>
      <c r="JY1" s="7"/>
      <c r="JZ1" s="7"/>
      <c r="KA1" s="7"/>
      <c r="KB1" s="7"/>
      <c r="KC1" s="7"/>
      <c r="KD1" s="7"/>
      <c r="KE1" s="7"/>
      <c r="KF1" s="7"/>
      <c r="KG1" s="7"/>
      <c r="KH1" s="7"/>
      <c r="KI1" s="7"/>
      <c r="KJ1" s="7"/>
      <c r="KK1" s="7"/>
      <c r="KL1" s="7"/>
      <c r="KM1" s="7"/>
      <c r="KN1" s="7"/>
      <c r="KO1" s="7"/>
      <c r="KP1" s="7"/>
      <c r="KQ1" s="7"/>
      <c r="KR1" s="7"/>
      <c r="KS1" s="7"/>
      <c r="KT1" s="7"/>
      <c r="KU1" s="7"/>
      <c r="KV1" s="7"/>
      <c r="KW1" s="7"/>
      <c r="KX1" s="7"/>
      <c r="KY1" s="7"/>
      <c r="KZ1" s="7"/>
      <c r="LA1" s="7"/>
      <c r="LB1" s="7"/>
      <c r="LC1" s="7"/>
      <c r="LD1" s="7"/>
      <c r="LE1" s="7"/>
      <c r="LF1" s="7"/>
      <c r="LG1" s="7"/>
      <c r="LH1" s="7"/>
      <c r="LI1" s="7"/>
      <c r="LJ1" s="7"/>
      <c r="LK1" s="7"/>
      <c r="LL1" s="7"/>
      <c r="LM1" s="7"/>
      <c r="LN1" s="7"/>
      <c r="LO1" s="7"/>
      <c r="LP1" s="7"/>
      <c r="LQ1" s="7"/>
      <c r="LR1" s="7"/>
      <c r="LS1" s="7"/>
      <c r="LT1" s="7"/>
      <c r="LU1" s="7"/>
      <c r="LV1" s="7"/>
      <c r="LW1" s="7"/>
      <c r="LX1" s="7"/>
      <c r="LY1" s="7"/>
      <c r="LZ1" s="7"/>
      <c r="MA1" s="7"/>
      <c r="MB1" s="7"/>
      <c r="MC1" s="7"/>
      <c r="MD1" s="7"/>
      <c r="ME1" s="7"/>
      <c r="MF1" s="7"/>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c r="NV1" s="7"/>
      <c r="NW1" s="7"/>
      <c r="NX1" s="7"/>
      <c r="NY1" s="7"/>
      <c r="NZ1" s="7"/>
      <c r="OA1" s="7"/>
      <c r="OB1" s="7"/>
      <c r="OC1" s="7"/>
      <c r="OD1" s="7"/>
      <c r="OE1" s="7"/>
      <c r="OF1" s="7"/>
      <c r="OG1" s="7"/>
      <c r="OH1" s="7"/>
      <c r="OI1" s="7"/>
      <c r="OJ1" s="7"/>
      <c r="OK1" s="7"/>
      <c r="OL1" s="7"/>
      <c r="OM1" s="7"/>
      <c r="ON1" s="7"/>
      <c r="OO1" s="7"/>
      <c r="OP1" s="7"/>
      <c r="OQ1" s="7"/>
      <c r="OR1" s="7"/>
      <c r="OS1" s="7"/>
      <c r="OT1" s="7"/>
      <c r="OU1" s="7"/>
      <c r="OV1" s="7"/>
      <c r="OW1" s="7"/>
      <c r="OX1" s="7"/>
      <c r="OY1" s="7"/>
      <c r="OZ1" s="7"/>
      <c r="PA1" s="7"/>
      <c r="PB1" s="7"/>
      <c r="PC1" s="7"/>
      <c r="PD1" s="7"/>
      <c r="PE1" s="7"/>
      <c r="PF1" s="7"/>
      <c r="PG1" s="7"/>
      <c r="PH1" s="7"/>
      <c r="PI1" s="7"/>
      <c r="PJ1" s="7"/>
      <c r="PK1" s="7"/>
      <c r="PL1" s="7"/>
      <c r="PM1" s="7"/>
      <c r="PN1" s="7"/>
      <c r="PO1" s="7"/>
      <c r="PP1" s="7"/>
      <c r="PQ1" s="7"/>
      <c r="PR1" s="7"/>
      <c r="PS1" s="7"/>
      <c r="PT1" s="7"/>
      <c r="PU1" s="7"/>
      <c r="PV1" s="7"/>
      <c r="PW1" s="7"/>
      <c r="PX1" s="7"/>
      <c r="PY1" s="7"/>
      <c r="PZ1" s="7"/>
      <c r="QA1" s="7"/>
      <c r="QB1" s="7"/>
      <c r="QC1" s="7"/>
      <c r="QD1" s="7"/>
      <c r="QE1" s="7"/>
      <c r="QF1" s="7"/>
      <c r="QG1" s="7"/>
      <c r="QH1" s="7"/>
      <c r="QI1" s="7"/>
      <c r="QJ1" s="7"/>
      <c r="QK1" s="7"/>
      <c r="QL1" s="7"/>
      <c r="QM1" s="7"/>
      <c r="QN1" s="7"/>
      <c r="QO1" s="7"/>
      <c r="QP1" s="7"/>
      <c r="QQ1" s="7"/>
      <c r="QR1" s="7"/>
      <c r="QS1" s="7"/>
      <c r="QT1" s="7"/>
      <c r="QU1" s="7"/>
      <c r="QV1" s="7"/>
      <c r="QW1" s="7"/>
      <c r="QX1" s="7"/>
      <c r="QY1" s="7"/>
      <c r="QZ1" s="7"/>
      <c r="RA1" s="7"/>
      <c r="RB1" s="7"/>
      <c r="RC1" s="7"/>
      <c r="RD1" s="7"/>
      <c r="RE1" s="7"/>
      <c r="RF1" s="7"/>
      <c r="RG1" s="7"/>
      <c r="RH1" s="7"/>
      <c r="RI1" s="7"/>
      <c r="RJ1" s="7"/>
      <c r="RK1" s="7"/>
      <c r="RL1" s="7"/>
      <c r="RM1" s="7"/>
      <c r="RN1" s="7"/>
      <c r="RO1" s="7"/>
      <c r="RP1" s="7"/>
      <c r="RQ1" s="7"/>
      <c r="RR1" s="7"/>
      <c r="RS1" s="7"/>
      <c r="RT1" s="7"/>
      <c r="RU1" s="7"/>
      <c r="RV1" s="7"/>
      <c r="RW1" s="7"/>
      <c r="RX1" s="7"/>
      <c r="RY1" s="7"/>
      <c r="RZ1" s="7"/>
      <c r="SA1" s="7"/>
      <c r="SB1" s="7"/>
      <c r="SC1" s="7"/>
      <c r="SD1" s="7"/>
      <c r="SE1" s="7"/>
      <c r="SF1" s="7"/>
      <c r="SG1" s="7"/>
      <c r="SH1" s="7"/>
      <c r="SI1" s="7"/>
      <c r="SJ1" s="7"/>
      <c r="SK1" s="7"/>
      <c r="SL1" s="7"/>
      <c r="SM1" s="7"/>
      <c r="SN1" s="7"/>
      <c r="SO1" s="7"/>
      <c r="SP1" s="7"/>
      <c r="SQ1" s="7"/>
      <c r="SR1" s="7"/>
      <c r="SS1" s="7"/>
      <c r="ST1" s="7"/>
      <c r="SU1" s="7"/>
      <c r="SV1" s="7"/>
      <c r="SW1" s="7"/>
      <c r="SX1" s="7"/>
      <c r="SY1" s="7"/>
      <c r="SZ1" s="7"/>
      <c r="TA1" s="7"/>
      <c r="TB1" s="7"/>
      <c r="TC1" s="7"/>
      <c r="TD1" s="7"/>
      <c r="TE1" s="7"/>
      <c r="TF1" s="7"/>
      <c r="TG1" s="7"/>
      <c r="TH1" s="7"/>
      <c r="TI1" s="7"/>
      <c r="TJ1" s="7"/>
      <c r="TK1" s="7"/>
      <c r="TL1" s="7"/>
      <c r="TM1" s="7"/>
      <c r="TN1" s="7"/>
      <c r="TO1" s="7"/>
      <c r="TP1" s="7"/>
      <c r="TQ1" s="7"/>
      <c r="TR1" s="7"/>
      <c r="TS1" s="7"/>
      <c r="TT1" s="7"/>
      <c r="TU1" s="7"/>
      <c r="TV1" s="7"/>
      <c r="TW1" s="7"/>
      <c r="TX1" s="7"/>
      <c r="TY1" s="7"/>
      <c r="TZ1" s="7"/>
      <c r="UA1" s="7"/>
      <c r="UB1" s="7"/>
      <c r="UC1" s="7"/>
      <c r="UD1" s="7"/>
      <c r="UE1" s="7"/>
      <c r="UF1" s="7"/>
      <c r="UG1" s="7"/>
      <c r="UH1" s="7"/>
      <c r="UI1" s="7"/>
      <c r="UJ1" s="7"/>
      <c r="UK1" s="7"/>
      <c r="UL1" s="7"/>
      <c r="UM1" s="7"/>
    </row>
    <row r="2" spans="1:565" s="133" customFormat="1">
      <c r="A2" s="7"/>
      <c r="B2" s="7"/>
      <c r="C2" s="7"/>
      <c r="D2" s="7"/>
      <c r="E2" s="7"/>
      <c r="F2" s="7"/>
      <c r="G2" s="7"/>
      <c r="H2" s="7"/>
      <c r="I2" s="7"/>
      <c r="J2" s="7"/>
      <c r="K2" s="132"/>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c r="BA2" s="128"/>
      <c r="BB2" s="128"/>
      <c r="BC2" s="128"/>
      <c r="BD2" s="128"/>
      <c r="BE2" s="128"/>
      <c r="BF2" s="128"/>
      <c r="BG2" s="128"/>
      <c r="BH2" s="128"/>
      <c r="BI2" s="128"/>
      <c r="BJ2" s="128"/>
      <c r="BK2" s="128"/>
      <c r="BL2" s="128"/>
      <c r="BM2" s="128"/>
      <c r="BN2" s="128"/>
      <c r="BO2" s="128"/>
      <c r="BP2" s="128"/>
      <c r="BQ2" s="128"/>
      <c r="BR2" s="128"/>
      <c r="BS2" s="128"/>
      <c r="BT2" s="128"/>
      <c r="BU2" s="128"/>
      <c r="BV2" s="128"/>
      <c r="BW2" s="128"/>
      <c r="BX2" s="128"/>
      <c r="BY2" s="128"/>
      <c r="BZ2" s="128"/>
      <c r="CA2" s="128"/>
      <c r="CB2" s="128"/>
      <c r="CC2" s="128"/>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7"/>
      <c r="PZ2" s="7"/>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row>
    <row r="3" spans="1:565" s="133" customFormat="1">
      <c r="A3" s="7"/>
      <c r="B3" s="7"/>
      <c r="C3" s="7"/>
      <c r="D3" s="7"/>
      <c r="E3" s="7"/>
      <c r="F3" s="7"/>
      <c r="G3" s="7"/>
      <c r="H3" s="7"/>
      <c r="I3" s="7"/>
      <c r="J3" s="7"/>
      <c r="K3" s="132"/>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28"/>
      <c r="AK3" s="128"/>
      <c r="AL3" s="128"/>
      <c r="AM3" s="128"/>
      <c r="AN3" s="128"/>
      <c r="AO3" s="128"/>
      <c r="AP3" s="128"/>
      <c r="AQ3" s="128"/>
      <c r="AR3" s="128"/>
      <c r="AS3" s="128"/>
      <c r="AT3" s="128"/>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c r="BS3" s="128"/>
      <c r="BT3" s="128"/>
      <c r="BU3" s="128"/>
      <c r="BV3" s="128"/>
      <c r="BW3" s="128"/>
      <c r="BX3" s="128"/>
      <c r="BY3" s="128"/>
      <c r="BZ3" s="128"/>
      <c r="CA3" s="128"/>
      <c r="CB3" s="128"/>
      <c r="CC3" s="128"/>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7"/>
      <c r="PZ3" s="7"/>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row>
    <row r="4" spans="1:565" s="133" customFormat="1">
      <c r="A4" s="128"/>
      <c r="B4" s="128"/>
      <c r="C4" s="128"/>
      <c r="D4" s="128"/>
      <c r="E4" s="128"/>
      <c r="F4" s="128"/>
      <c r="G4" s="128"/>
      <c r="H4" s="128"/>
      <c r="I4" s="128"/>
      <c r="J4" s="128"/>
      <c r="K4" s="132"/>
      <c r="L4" s="128"/>
      <c r="M4" s="128"/>
      <c r="N4" s="128"/>
      <c r="O4" s="128"/>
      <c r="P4" s="128"/>
      <c r="Q4" s="128"/>
      <c r="R4" s="128"/>
      <c r="S4" s="128"/>
      <c r="T4" s="128"/>
      <c r="U4" s="128"/>
      <c r="V4" s="128"/>
      <c r="W4" s="128"/>
      <c r="X4" s="128"/>
      <c r="Y4" s="128"/>
      <c r="Z4" s="128"/>
      <c r="AA4" s="128"/>
      <c r="AB4" s="128"/>
      <c r="AC4" s="128"/>
      <c r="AD4" s="128"/>
      <c r="AE4" s="128"/>
      <c r="AF4" s="128"/>
      <c r="AG4" s="128"/>
      <c r="AH4" s="128"/>
      <c r="AI4" s="128"/>
      <c r="AJ4" s="128"/>
      <c r="AK4" s="128"/>
      <c r="AL4" s="128"/>
      <c r="AM4" s="128"/>
      <c r="AN4" s="128"/>
      <c r="AO4" s="128"/>
      <c r="AP4" s="128"/>
      <c r="AQ4" s="128"/>
      <c r="AR4" s="128"/>
      <c r="AS4" s="128"/>
      <c r="AT4" s="128"/>
      <c r="AU4" s="128"/>
      <c r="AV4" s="128"/>
      <c r="AW4" s="128"/>
      <c r="AX4" s="128"/>
      <c r="AY4" s="128"/>
      <c r="AZ4" s="128"/>
      <c r="BA4" s="128"/>
      <c r="BB4" s="128"/>
      <c r="BC4" s="128"/>
      <c r="BD4" s="128"/>
      <c r="BE4" s="128"/>
      <c r="BF4" s="128"/>
      <c r="BG4" s="128"/>
      <c r="BH4" s="128"/>
      <c r="BI4" s="128"/>
      <c r="BJ4" s="128"/>
      <c r="BK4" s="128"/>
      <c r="BL4" s="128"/>
      <c r="BM4" s="128"/>
      <c r="BN4" s="128"/>
      <c r="BO4" s="128"/>
      <c r="BP4" s="128"/>
      <c r="BQ4" s="128"/>
      <c r="BR4" s="128"/>
      <c r="BS4" s="128"/>
      <c r="BT4" s="128"/>
      <c r="BU4" s="128"/>
      <c r="BV4" s="128"/>
      <c r="BW4" s="128"/>
      <c r="BX4" s="128"/>
      <c r="BY4" s="128"/>
      <c r="BZ4" s="128"/>
      <c r="CA4" s="128"/>
      <c r="CB4" s="128"/>
      <c r="CC4" s="128"/>
      <c r="CD4" s="128"/>
      <c r="CE4" s="128"/>
      <c r="CF4" s="128"/>
      <c r="CG4" s="128"/>
      <c r="CH4" s="128"/>
      <c r="CI4" s="128"/>
      <c r="CJ4" s="128"/>
      <c r="CK4" s="128"/>
      <c r="CL4" s="128"/>
      <c r="CM4" s="128"/>
      <c r="CN4" s="128"/>
      <c r="CO4" s="128"/>
      <c r="CP4" s="128"/>
      <c r="CQ4" s="128"/>
      <c r="CR4" s="128"/>
      <c r="CS4" s="128"/>
      <c r="CT4" s="128"/>
      <c r="CU4" s="128"/>
      <c r="CV4" s="128"/>
      <c r="CW4" s="128"/>
      <c r="CX4" s="128"/>
      <c r="CY4" s="128"/>
      <c r="CZ4" s="128"/>
      <c r="DA4" s="128"/>
      <c r="DB4" s="128"/>
      <c r="DC4" s="128"/>
      <c r="DD4" s="128"/>
      <c r="DE4" s="128"/>
      <c r="DF4" s="128"/>
      <c r="DG4" s="128"/>
      <c r="DH4" s="128"/>
      <c r="DI4" s="128"/>
      <c r="DJ4" s="128"/>
      <c r="DK4" s="128"/>
      <c r="DL4" s="128"/>
      <c r="DM4" s="128"/>
      <c r="DN4" s="128"/>
      <c r="DO4" s="128"/>
      <c r="DP4" s="128"/>
      <c r="DQ4" s="128"/>
      <c r="DR4" s="128"/>
      <c r="DS4" s="128"/>
      <c r="DT4" s="128"/>
      <c r="DU4" s="128"/>
      <c r="DV4" s="128"/>
      <c r="DW4" s="128"/>
      <c r="DX4" s="128"/>
      <c r="DY4" s="128"/>
      <c r="DZ4" s="128"/>
      <c r="EA4" s="128"/>
      <c r="EB4" s="128"/>
      <c r="EC4" s="128"/>
      <c r="ED4" s="128"/>
      <c r="EE4" s="128"/>
      <c r="EF4" s="128"/>
      <c r="EG4" s="128"/>
      <c r="EH4" s="128"/>
      <c r="EI4" s="128"/>
      <c r="EJ4" s="128"/>
      <c r="EK4" s="128"/>
      <c r="EL4" s="128"/>
      <c r="EM4" s="128"/>
      <c r="EN4" s="128"/>
      <c r="EO4" s="128"/>
      <c r="EP4" s="128"/>
      <c r="EQ4" s="128"/>
      <c r="ER4" s="128"/>
      <c r="ES4" s="128"/>
      <c r="ET4" s="128"/>
      <c r="EU4" s="128"/>
      <c r="EV4" s="128"/>
      <c r="EW4" s="128"/>
      <c r="EX4" s="128"/>
      <c r="EY4" s="128"/>
      <c r="EZ4" s="128"/>
      <c r="FA4" s="128"/>
      <c r="FB4" s="128"/>
      <c r="FC4" s="128"/>
      <c r="FD4" s="128"/>
      <c r="FE4" s="128"/>
      <c r="FF4" s="128"/>
      <c r="FG4" s="128"/>
      <c r="FH4" s="128"/>
      <c r="FI4" s="128"/>
      <c r="FJ4" s="128"/>
      <c r="FK4" s="128"/>
      <c r="FL4" s="128"/>
      <c r="FM4" s="128"/>
      <c r="FN4" s="128"/>
      <c r="FO4" s="128"/>
      <c r="FP4" s="128"/>
      <c r="FQ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c r="ID4" s="128"/>
      <c r="IE4" s="128"/>
      <c r="IF4" s="128"/>
      <c r="IG4" s="128"/>
      <c r="IH4" s="128"/>
      <c r="II4" s="128"/>
      <c r="IJ4" s="128"/>
      <c r="IK4" s="128"/>
      <c r="IL4" s="128"/>
      <c r="IM4" s="128"/>
      <c r="IN4" s="128"/>
      <c r="IO4" s="128"/>
      <c r="IP4" s="128"/>
      <c r="IQ4" s="128"/>
      <c r="IR4" s="128"/>
      <c r="IS4" s="128"/>
      <c r="IT4" s="128"/>
      <c r="IU4" s="128"/>
      <c r="IV4" s="128"/>
      <c r="IW4" s="128"/>
      <c r="IX4" s="128"/>
      <c r="IY4" s="128"/>
      <c r="IZ4" s="128"/>
      <c r="JA4" s="128"/>
      <c r="JB4" s="128"/>
      <c r="JC4" s="128"/>
      <c r="JD4" s="128"/>
      <c r="JE4" s="128"/>
      <c r="JF4" s="128"/>
      <c r="JG4" s="128"/>
      <c r="JH4" s="128"/>
      <c r="JI4" s="128"/>
      <c r="JJ4" s="128"/>
      <c r="JK4" s="128"/>
      <c r="JL4" s="128"/>
      <c r="JM4" s="128"/>
      <c r="JN4" s="128"/>
      <c r="JO4" s="128"/>
      <c r="JP4" s="128"/>
      <c r="JQ4" s="128"/>
      <c r="JR4" s="128"/>
      <c r="JS4" s="128"/>
      <c r="JT4" s="128"/>
      <c r="JU4" s="128"/>
      <c r="JV4" s="128"/>
      <c r="JW4" s="128"/>
      <c r="JX4" s="128"/>
      <c r="JY4" s="128"/>
      <c r="JZ4" s="128"/>
      <c r="KA4" s="128"/>
      <c r="KB4" s="128"/>
      <c r="KC4" s="128"/>
      <c r="KD4" s="128"/>
      <c r="KE4" s="128"/>
      <c r="KF4" s="128"/>
      <c r="KG4" s="128"/>
      <c r="KH4" s="128"/>
      <c r="KI4" s="128"/>
      <c r="KJ4" s="128"/>
      <c r="KK4" s="128"/>
      <c r="KL4" s="128"/>
      <c r="KM4" s="128"/>
      <c r="KN4" s="128"/>
      <c r="KO4" s="128"/>
      <c r="KP4" s="128"/>
      <c r="KQ4" s="128"/>
      <c r="KR4" s="128"/>
      <c r="KS4" s="128"/>
      <c r="KT4" s="128"/>
      <c r="KU4" s="128"/>
      <c r="KV4" s="128"/>
      <c r="KW4" s="128"/>
      <c r="KX4" s="128"/>
      <c r="KY4" s="128"/>
      <c r="KZ4" s="128"/>
      <c r="LA4" s="128"/>
      <c r="LB4" s="128"/>
      <c r="LC4" s="128"/>
      <c r="LD4" s="128"/>
      <c r="LE4" s="128"/>
      <c r="LF4" s="128"/>
      <c r="LG4" s="128"/>
      <c r="LH4" s="128"/>
      <c r="LI4" s="128"/>
      <c r="LJ4" s="128"/>
      <c r="LK4" s="128"/>
      <c r="LL4" s="128"/>
      <c r="LM4" s="128"/>
      <c r="LN4" s="128"/>
      <c r="LO4" s="128"/>
      <c r="LP4" s="128"/>
      <c r="LQ4" s="128"/>
      <c r="LR4" s="128"/>
      <c r="LS4" s="128"/>
      <c r="LT4" s="128"/>
      <c r="LU4" s="128"/>
      <c r="LV4" s="128"/>
      <c r="LW4" s="128"/>
      <c r="LX4" s="128"/>
      <c r="LY4" s="128"/>
      <c r="LZ4" s="128"/>
      <c r="MA4" s="128"/>
      <c r="MB4" s="128"/>
      <c r="MC4" s="128"/>
      <c r="MD4" s="128"/>
      <c r="ME4" s="128"/>
      <c r="MF4" s="128"/>
      <c r="MG4" s="128"/>
      <c r="MH4" s="128"/>
      <c r="MI4" s="128"/>
      <c r="MJ4" s="128"/>
      <c r="MK4" s="128"/>
      <c r="ML4" s="128"/>
      <c r="MM4" s="128"/>
      <c r="MN4" s="128"/>
      <c r="MO4" s="128"/>
      <c r="MP4" s="128"/>
      <c r="MQ4" s="128"/>
      <c r="MR4" s="128"/>
      <c r="MS4" s="128"/>
      <c r="MT4" s="128"/>
      <c r="MU4" s="128"/>
      <c r="MV4" s="128"/>
      <c r="MW4" s="128"/>
      <c r="MX4" s="128"/>
      <c r="MY4" s="128"/>
      <c r="MZ4" s="128"/>
      <c r="NA4" s="128"/>
      <c r="NB4" s="128"/>
      <c r="NC4" s="128"/>
      <c r="ND4" s="128"/>
      <c r="NE4" s="128"/>
      <c r="NF4" s="128"/>
      <c r="NG4" s="128"/>
      <c r="NH4" s="128"/>
      <c r="NI4" s="128"/>
      <c r="NJ4" s="128"/>
      <c r="NK4" s="128"/>
      <c r="NL4" s="128"/>
      <c r="NM4" s="128"/>
      <c r="NN4" s="128"/>
      <c r="NO4" s="128"/>
      <c r="NP4" s="128"/>
      <c r="NQ4" s="128"/>
      <c r="NR4" s="128"/>
      <c r="NS4" s="128"/>
      <c r="NT4" s="128"/>
      <c r="NU4" s="128"/>
      <c r="NV4" s="128"/>
      <c r="NW4" s="128"/>
      <c r="NX4" s="128"/>
      <c r="NY4" s="128"/>
      <c r="NZ4" s="128"/>
      <c r="OA4" s="128"/>
      <c r="OB4" s="128"/>
      <c r="OC4" s="128"/>
      <c r="OD4" s="128"/>
      <c r="OE4" s="128"/>
      <c r="OF4" s="128"/>
      <c r="OG4" s="128"/>
      <c r="OH4" s="128"/>
      <c r="OI4" s="128"/>
      <c r="OJ4" s="128"/>
      <c r="OK4" s="128"/>
      <c r="OL4" s="128"/>
      <c r="OM4" s="128"/>
      <c r="ON4" s="128"/>
      <c r="OO4" s="128"/>
      <c r="OP4" s="128"/>
      <c r="OQ4" s="128"/>
      <c r="OR4" s="128"/>
      <c r="OS4" s="128"/>
      <c r="OT4" s="128"/>
      <c r="OU4" s="128"/>
      <c r="OV4" s="128"/>
      <c r="OW4" s="128"/>
      <c r="OX4" s="128"/>
      <c r="OY4" s="128"/>
      <c r="OZ4" s="128"/>
      <c r="PA4" s="128"/>
      <c r="PB4" s="128"/>
      <c r="PC4" s="128"/>
      <c r="PD4" s="128"/>
      <c r="PE4" s="128"/>
      <c r="PF4" s="128"/>
      <c r="PG4" s="128"/>
      <c r="PH4" s="128"/>
      <c r="PI4" s="128"/>
      <c r="PJ4" s="128"/>
      <c r="PK4" s="128"/>
      <c r="PL4" s="128"/>
      <c r="PM4" s="128"/>
      <c r="PN4" s="128"/>
      <c r="PO4" s="128"/>
      <c r="PP4" s="128"/>
      <c r="PQ4" s="128"/>
      <c r="PR4" s="128"/>
      <c r="PS4" s="128"/>
      <c r="PT4" s="128"/>
      <c r="PU4" s="128"/>
      <c r="PV4" s="128"/>
      <c r="PW4" s="128"/>
      <c r="PX4" s="128"/>
      <c r="PY4" s="128"/>
      <c r="PZ4" s="128"/>
      <c r="QA4" s="128"/>
      <c r="QB4" s="128"/>
      <c r="QC4" s="128"/>
      <c r="QD4" s="128"/>
      <c r="QE4" s="128"/>
      <c r="QF4" s="128"/>
      <c r="QG4" s="128"/>
      <c r="QH4" s="128"/>
      <c r="QI4" s="128"/>
      <c r="QJ4" s="128"/>
      <c r="QK4" s="128"/>
      <c r="QL4" s="128"/>
      <c r="QM4" s="128"/>
      <c r="QN4" s="128"/>
      <c r="QO4" s="128"/>
      <c r="QP4" s="128"/>
      <c r="QQ4" s="128"/>
      <c r="QR4" s="128"/>
      <c r="QS4" s="128"/>
      <c r="QT4" s="128"/>
      <c r="QU4" s="128"/>
      <c r="QV4" s="128"/>
      <c r="QW4" s="128"/>
      <c r="QX4" s="128"/>
      <c r="QY4" s="128"/>
      <c r="QZ4" s="128"/>
      <c r="RA4" s="128"/>
      <c r="RB4" s="128"/>
      <c r="RC4" s="128"/>
      <c r="RD4" s="128"/>
      <c r="RE4" s="128"/>
      <c r="RF4" s="128"/>
      <c r="RG4" s="128"/>
      <c r="RH4" s="128"/>
      <c r="RI4" s="128"/>
      <c r="RJ4" s="128"/>
      <c r="RK4" s="128"/>
      <c r="RL4" s="128"/>
      <c r="RM4" s="128"/>
      <c r="RN4" s="128"/>
      <c r="RO4" s="128"/>
      <c r="RP4" s="128"/>
      <c r="RQ4" s="128"/>
      <c r="RR4" s="128"/>
      <c r="RS4" s="128"/>
      <c r="RT4" s="128"/>
      <c r="RU4" s="128"/>
      <c r="RV4" s="128"/>
      <c r="RW4" s="128"/>
      <c r="RX4" s="128"/>
      <c r="RY4" s="128"/>
      <c r="RZ4" s="128"/>
      <c r="SA4" s="128"/>
      <c r="SB4" s="128"/>
      <c r="SC4" s="128"/>
      <c r="SD4" s="128"/>
      <c r="SE4" s="128"/>
      <c r="SF4" s="128"/>
      <c r="SG4" s="128"/>
      <c r="SH4" s="128"/>
      <c r="SI4" s="128"/>
      <c r="SJ4" s="128"/>
      <c r="SK4" s="128"/>
      <c r="SL4" s="128"/>
      <c r="SM4" s="128"/>
      <c r="SN4" s="128"/>
      <c r="SO4" s="128"/>
      <c r="SP4" s="128"/>
      <c r="SQ4" s="128"/>
      <c r="SR4" s="128"/>
      <c r="SS4" s="128"/>
      <c r="ST4" s="128"/>
      <c r="SU4" s="128"/>
      <c r="SV4" s="128"/>
      <c r="SW4" s="128"/>
      <c r="SX4" s="128"/>
      <c r="SY4" s="128"/>
      <c r="SZ4" s="128"/>
      <c r="TA4" s="128"/>
      <c r="TB4" s="128"/>
      <c r="TC4" s="128"/>
      <c r="TD4" s="128"/>
      <c r="TE4" s="128"/>
      <c r="TF4" s="128"/>
      <c r="TG4" s="128"/>
      <c r="TH4" s="128"/>
      <c r="TI4" s="128"/>
      <c r="TJ4" s="128"/>
      <c r="TK4" s="128"/>
      <c r="TL4" s="128"/>
      <c r="TM4" s="128"/>
      <c r="TN4" s="128"/>
      <c r="TO4" s="128"/>
      <c r="TP4" s="128"/>
      <c r="TQ4" s="128"/>
      <c r="TR4" s="128"/>
      <c r="TS4" s="128"/>
      <c r="TT4" s="128"/>
      <c r="TU4" s="128"/>
      <c r="TV4" s="128"/>
      <c r="TW4" s="128"/>
      <c r="TX4" s="128"/>
      <c r="TY4" s="128"/>
      <c r="TZ4" s="128"/>
      <c r="UA4" s="128"/>
      <c r="UB4" s="128"/>
      <c r="UC4" s="128"/>
      <c r="UD4" s="128"/>
      <c r="UE4" s="128"/>
      <c r="UF4" s="128"/>
      <c r="UG4" s="128"/>
      <c r="UH4" s="128"/>
      <c r="UI4" s="128"/>
      <c r="UJ4" s="128"/>
      <c r="UK4" s="128"/>
      <c r="UL4" s="128"/>
      <c r="UM4" s="128"/>
    </row>
    <row r="5" spans="1:565" s="133" customFormat="1">
      <c r="A5" s="7"/>
      <c r="B5" s="7"/>
      <c r="C5" s="7"/>
      <c r="D5" s="7"/>
      <c r="E5" s="7"/>
      <c r="F5" s="7"/>
      <c r="G5" s="7"/>
      <c r="H5" s="7"/>
      <c r="I5" s="7"/>
      <c r="J5" s="7"/>
      <c r="K5" s="102"/>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c r="IW5" s="7"/>
      <c r="IX5" s="7"/>
      <c r="IY5" s="7"/>
      <c r="IZ5" s="7"/>
      <c r="JA5" s="7"/>
      <c r="JB5" s="7"/>
      <c r="JC5" s="7"/>
      <c r="JD5" s="7"/>
      <c r="JE5" s="7"/>
      <c r="JF5" s="7"/>
      <c r="JG5" s="7"/>
      <c r="JH5" s="7"/>
      <c r="JI5" s="7"/>
      <c r="JJ5" s="7"/>
      <c r="JK5" s="7"/>
      <c r="JL5" s="7"/>
      <c r="JM5" s="7"/>
      <c r="JN5" s="7"/>
      <c r="JO5" s="7"/>
      <c r="JP5" s="7"/>
      <c r="JQ5" s="7"/>
      <c r="JR5" s="7"/>
      <c r="JS5" s="7"/>
      <c r="JT5" s="7"/>
      <c r="JU5" s="7"/>
      <c r="JV5" s="7"/>
      <c r="JW5" s="7"/>
      <c r="JX5" s="7"/>
      <c r="JY5" s="7"/>
      <c r="JZ5" s="7"/>
      <c r="KA5" s="7"/>
      <c r="KB5" s="7"/>
      <c r="KC5" s="7"/>
      <c r="KD5" s="7"/>
      <c r="KE5" s="7"/>
      <c r="KF5" s="7"/>
      <c r="KG5" s="7"/>
      <c r="KH5" s="7"/>
      <c r="KI5" s="7"/>
      <c r="KJ5" s="7"/>
      <c r="KK5" s="7"/>
      <c r="KL5" s="7"/>
      <c r="KM5" s="7"/>
      <c r="KN5" s="7"/>
      <c r="KO5" s="7"/>
      <c r="KP5" s="7"/>
      <c r="KQ5" s="7"/>
      <c r="KR5" s="7"/>
      <c r="KS5" s="7"/>
      <c r="KT5" s="7"/>
      <c r="KU5" s="7"/>
      <c r="KV5" s="7"/>
      <c r="KW5" s="7"/>
      <c r="KX5" s="7"/>
      <c r="KY5" s="7"/>
      <c r="KZ5" s="7"/>
      <c r="LA5" s="7"/>
      <c r="LB5" s="7"/>
      <c r="LC5" s="7"/>
      <c r="LD5" s="7"/>
      <c r="LE5" s="7"/>
      <c r="LF5" s="7"/>
      <c r="LG5" s="7"/>
      <c r="LH5" s="7"/>
      <c r="LI5" s="7"/>
      <c r="LJ5" s="7"/>
      <c r="LK5" s="7"/>
      <c r="LL5" s="7"/>
      <c r="LM5" s="7"/>
      <c r="LN5" s="7"/>
      <c r="LO5" s="7"/>
      <c r="LP5" s="7"/>
      <c r="LQ5" s="7"/>
      <c r="LR5" s="7"/>
      <c r="LS5" s="7"/>
      <c r="LT5" s="7"/>
      <c r="LU5" s="7"/>
      <c r="LV5" s="7"/>
      <c r="LW5" s="7"/>
      <c r="LX5" s="7"/>
      <c r="LY5" s="7"/>
      <c r="LZ5" s="7"/>
      <c r="MA5" s="7"/>
      <c r="MB5" s="7"/>
      <c r="MC5" s="7"/>
      <c r="MD5" s="7"/>
      <c r="ME5" s="7"/>
      <c r="MF5" s="7"/>
      <c r="MG5" s="7"/>
      <c r="MH5" s="7"/>
      <c r="MI5" s="7"/>
      <c r="MJ5" s="7"/>
      <c r="MK5" s="7"/>
      <c r="ML5" s="7"/>
      <c r="MM5" s="7"/>
      <c r="MN5" s="7"/>
      <c r="MO5" s="7"/>
      <c r="MP5" s="7"/>
      <c r="MQ5" s="7"/>
      <c r="MR5" s="7"/>
      <c r="MS5" s="7"/>
      <c r="MT5" s="7"/>
      <c r="MU5" s="7"/>
      <c r="MV5" s="7"/>
      <c r="MW5" s="7"/>
      <c r="MX5" s="7"/>
      <c r="MY5" s="7"/>
      <c r="MZ5" s="7"/>
      <c r="NA5" s="7"/>
      <c r="NB5" s="7"/>
      <c r="NC5" s="7"/>
      <c r="ND5" s="7"/>
      <c r="NE5" s="7"/>
      <c r="NF5" s="7"/>
      <c r="NG5" s="7"/>
      <c r="NH5" s="7"/>
      <c r="NI5" s="7"/>
      <c r="NJ5" s="7"/>
      <c r="NK5" s="7"/>
      <c r="NL5" s="7"/>
      <c r="NM5" s="7"/>
      <c r="NN5" s="7"/>
      <c r="NO5" s="7"/>
      <c r="NP5" s="7"/>
      <c r="NQ5" s="7"/>
      <c r="NR5" s="7"/>
      <c r="NS5" s="7"/>
      <c r="NT5" s="7"/>
      <c r="NU5" s="7"/>
      <c r="NV5" s="7"/>
      <c r="NW5" s="7"/>
      <c r="NX5" s="7"/>
      <c r="NY5" s="7"/>
      <c r="NZ5" s="7"/>
      <c r="OA5" s="7"/>
      <c r="OB5" s="7"/>
      <c r="OC5" s="7"/>
      <c r="OD5" s="7"/>
      <c r="OE5" s="7"/>
      <c r="OF5" s="7"/>
      <c r="OG5" s="7"/>
      <c r="OH5" s="7"/>
      <c r="OI5" s="7"/>
      <c r="OJ5" s="7"/>
      <c r="OK5" s="7"/>
      <c r="OL5" s="7"/>
      <c r="OM5" s="7"/>
      <c r="ON5" s="7"/>
      <c r="OO5" s="7"/>
      <c r="OP5" s="7"/>
      <c r="OQ5" s="7"/>
      <c r="OR5" s="7"/>
      <c r="OS5" s="7"/>
      <c r="OT5" s="7"/>
      <c r="OU5" s="7"/>
      <c r="OV5" s="7"/>
      <c r="OW5" s="7"/>
      <c r="OX5" s="7"/>
      <c r="OY5" s="7"/>
      <c r="OZ5" s="7"/>
      <c r="PA5" s="7"/>
      <c r="PB5" s="7"/>
      <c r="PC5" s="7"/>
      <c r="PD5" s="7"/>
      <c r="PE5" s="7"/>
      <c r="PF5" s="7"/>
      <c r="PG5" s="7"/>
      <c r="PH5" s="7"/>
      <c r="PI5" s="7"/>
      <c r="PJ5" s="7"/>
      <c r="PK5" s="7"/>
      <c r="PL5" s="7"/>
      <c r="PM5" s="7"/>
      <c r="PN5" s="7"/>
      <c r="PO5" s="7"/>
      <c r="PP5" s="7"/>
      <c r="PQ5" s="7"/>
      <c r="PR5" s="7"/>
      <c r="PS5" s="7"/>
      <c r="PT5" s="7"/>
      <c r="PU5" s="7"/>
      <c r="PV5" s="7"/>
      <c r="PW5" s="7"/>
      <c r="PX5" s="7"/>
      <c r="PY5" s="7"/>
      <c r="PZ5" s="7"/>
      <c r="QA5" s="7"/>
      <c r="QB5" s="7"/>
      <c r="QC5" s="7"/>
      <c r="QD5" s="7"/>
      <c r="QE5" s="7"/>
      <c r="QF5" s="7"/>
      <c r="QG5" s="7"/>
      <c r="QH5" s="7"/>
      <c r="QI5" s="7"/>
      <c r="QJ5" s="7"/>
      <c r="QK5" s="7"/>
      <c r="QL5" s="7"/>
      <c r="QM5" s="7"/>
      <c r="QN5" s="7"/>
      <c r="QO5" s="7"/>
      <c r="QP5" s="7"/>
      <c r="QQ5" s="7"/>
      <c r="QR5" s="7"/>
      <c r="QS5" s="7"/>
      <c r="QT5" s="7"/>
      <c r="QU5" s="7"/>
      <c r="QV5" s="7"/>
      <c r="QW5" s="7"/>
      <c r="QX5" s="7"/>
      <c r="QY5" s="7"/>
      <c r="QZ5" s="7"/>
      <c r="RA5" s="7"/>
      <c r="RB5" s="7"/>
      <c r="RC5" s="7"/>
      <c r="RD5" s="7"/>
      <c r="RE5" s="7"/>
      <c r="RF5" s="7"/>
      <c r="RG5" s="7"/>
      <c r="RH5" s="7"/>
      <c r="RI5" s="7"/>
      <c r="RJ5" s="7"/>
      <c r="RK5" s="7"/>
      <c r="RL5" s="7"/>
      <c r="RM5" s="7"/>
      <c r="RN5" s="7"/>
      <c r="RO5" s="7"/>
      <c r="RP5" s="7"/>
      <c r="RQ5" s="7"/>
      <c r="RR5" s="7"/>
      <c r="RS5" s="7"/>
      <c r="RT5" s="7"/>
      <c r="RU5" s="7"/>
      <c r="RV5" s="7"/>
      <c r="RW5" s="7"/>
      <c r="RX5" s="7"/>
      <c r="RY5" s="7"/>
      <c r="RZ5" s="7"/>
      <c r="SA5" s="7"/>
      <c r="SB5" s="7"/>
      <c r="SC5" s="7"/>
      <c r="SD5" s="7"/>
      <c r="SE5" s="7"/>
      <c r="SF5" s="7"/>
      <c r="SG5" s="7"/>
      <c r="SH5" s="7"/>
      <c r="SI5" s="7"/>
      <c r="SJ5" s="7"/>
      <c r="SK5" s="7"/>
      <c r="SL5" s="7"/>
      <c r="SM5" s="7"/>
      <c r="SN5" s="7"/>
      <c r="SO5" s="7"/>
      <c r="SP5" s="7"/>
      <c r="SQ5" s="7"/>
      <c r="SR5" s="7"/>
      <c r="SS5" s="7"/>
      <c r="ST5" s="7"/>
      <c r="SU5" s="7"/>
      <c r="SV5" s="7"/>
      <c r="SW5" s="7"/>
      <c r="SX5" s="7"/>
      <c r="SY5" s="7"/>
      <c r="SZ5" s="7"/>
      <c r="TA5" s="7"/>
      <c r="TB5" s="7"/>
      <c r="TC5" s="7"/>
      <c r="TD5" s="7"/>
      <c r="TE5" s="7"/>
      <c r="TF5" s="7"/>
      <c r="TG5" s="7"/>
      <c r="TH5" s="7"/>
      <c r="TI5" s="7"/>
      <c r="TJ5" s="7"/>
      <c r="TK5" s="7"/>
      <c r="TL5" s="7"/>
      <c r="TM5" s="7"/>
      <c r="TN5" s="7"/>
      <c r="TO5" s="7"/>
      <c r="TP5" s="7"/>
      <c r="TQ5" s="7"/>
      <c r="TR5" s="7"/>
      <c r="TS5" s="7"/>
      <c r="TT5" s="7"/>
      <c r="TU5" s="7"/>
      <c r="TV5" s="7"/>
      <c r="TW5" s="7"/>
      <c r="TX5" s="7"/>
      <c r="TY5" s="7"/>
      <c r="TZ5" s="7"/>
      <c r="UA5" s="7"/>
      <c r="UB5" s="7"/>
      <c r="UC5" s="7"/>
      <c r="UD5" s="7"/>
      <c r="UE5" s="7"/>
      <c r="UF5" s="7"/>
      <c r="UG5" s="7"/>
      <c r="UH5" s="7"/>
      <c r="UI5" s="7"/>
      <c r="UJ5" s="7"/>
      <c r="UK5" s="7"/>
      <c r="UL5" s="7"/>
      <c r="UM5" s="7"/>
    </row>
    <row r="6" spans="1:565" s="133" customFormat="1">
      <c r="A6" s="7"/>
      <c r="B6" s="7"/>
      <c r="C6" s="7"/>
      <c r="D6" s="7"/>
      <c r="E6" s="7"/>
      <c r="F6" s="134"/>
      <c r="G6" s="134"/>
      <c r="H6" s="7"/>
      <c r="I6" s="7"/>
      <c r="J6" s="261"/>
      <c r="K6" s="102"/>
      <c r="L6" s="7"/>
      <c r="M6" s="7"/>
      <c r="N6" s="7"/>
      <c r="O6" s="7"/>
      <c r="P6" s="7"/>
      <c r="Q6" s="7"/>
      <c r="R6" s="7"/>
      <c r="S6" s="41"/>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c r="IW6" s="7"/>
      <c r="IX6" s="7"/>
      <c r="IY6" s="7"/>
      <c r="IZ6" s="7"/>
      <c r="JA6" s="7"/>
      <c r="JB6" s="7"/>
      <c r="JC6" s="7"/>
      <c r="JD6" s="7"/>
      <c r="JE6" s="7"/>
      <c r="JF6" s="7"/>
      <c r="JG6" s="7"/>
      <c r="JH6" s="7"/>
      <c r="JI6" s="7"/>
      <c r="JJ6" s="7"/>
      <c r="JK6" s="7"/>
      <c r="JL6" s="7"/>
      <c r="JM6" s="7"/>
      <c r="JN6" s="7"/>
      <c r="JO6" s="7"/>
      <c r="JP6" s="7"/>
      <c r="JQ6" s="7"/>
      <c r="JR6" s="7"/>
      <c r="JS6" s="7"/>
      <c r="JT6" s="7"/>
      <c r="JU6" s="7"/>
      <c r="JV6" s="7"/>
      <c r="JW6" s="7"/>
      <c r="JX6" s="7"/>
      <c r="JY6" s="7"/>
      <c r="JZ6" s="7"/>
      <c r="KA6" s="7"/>
      <c r="KB6" s="7"/>
      <c r="KC6" s="7"/>
      <c r="KD6" s="7"/>
      <c r="KE6" s="7"/>
      <c r="KF6" s="7"/>
      <c r="KG6" s="7"/>
      <c r="KH6" s="7"/>
      <c r="KI6" s="7"/>
      <c r="KJ6" s="7"/>
      <c r="KK6" s="7"/>
      <c r="KL6" s="7"/>
      <c r="KM6" s="7"/>
      <c r="KN6" s="7"/>
      <c r="KO6" s="7"/>
      <c r="KP6" s="7"/>
      <c r="KQ6" s="7"/>
      <c r="KR6" s="7"/>
      <c r="KS6" s="7"/>
      <c r="KT6" s="7"/>
      <c r="KU6" s="7"/>
      <c r="KV6" s="7"/>
      <c r="KW6" s="7"/>
      <c r="KX6" s="7"/>
      <c r="KY6" s="7"/>
      <c r="KZ6" s="7"/>
      <c r="LA6" s="7"/>
      <c r="LB6" s="7"/>
      <c r="LC6" s="7"/>
      <c r="LD6" s="7"/>
      <c r="LE6" s="7"/>
      <c r="LF6" s="7"/>
      <c r="LG6" s="7"/>
      <c r="LH6" s="7"/>
      <c r="LI6" s="7"/>
      <c r="LJ6" s="7"/>
      <c r="LK6" s="7"/>
      <c r="LL6" s="7"/>
      <c r="LM6" s="7"/>
      <c r="LN6" s="7"/>
      <c r="LO6" s="7"/>
      <c r="LP6" s="7"/>
      <c r="LQ6" s="7"/>
      <c r="LR6" s="7"/>
      <c r="LS6" s="7"/>
      <c r="LT6" s="7"/>
      <c r="LU6" s="7"/>
      <c r="LV6" s="7"/>
      <c r="LW6" s="7"/>
      <c r="LX6" s="7"/>
      <c r="LY6" s="7"/>
      <c r="LZ6" s="7"/>
      <c r="MA6" s="7"/>
      <c r="MB6" s="7"/>
      <c r="MC6" s="7"/>
      <c r="MD6" s="7"/>
      <c r="ME6" s="7"/>
      <c r="MF6" s="7"/>
      <c r="MG6" s="7"/>
      <c r="MH6" s="7"/>
      <c r="MI6" s="7"/>
      <c r="MJ6" s="7"/>
      <c r="MK6" s="7"/>
      <c r="ML6" s="7"/>
      <c r="MM6" s="7"/>
      <c r="MN6" s="7"/>
      <c r="MO6" s="7"/>
      <c r="MP6" s="7"/>
      <c r="MQ6" s="7"/>
      <c r="MR6" s="7"/>
      <c r="MS6" s="7"/>
      <c r="MT6" s="7"/>
      <c r="MU6" s="7"/>
      <c r="MV6" s="7"/>
      <c r="MW6" s="7"/>
      <c r="MX6" s="7"/>
      <c r="MY6" s="7"/>
      <c r="MZ6" s="7"/>
      <c r="NA6" s="7"/>
      <c r="NB6" s="7"/>
      <c r="NC6" s="7"/>
      <c r="ND6" s="7"/>
      <c r="NE6" s="7"/>
      <c r="NF6" s="7"/>
      <c r="NG6" s="7"/>
      <c r="NH6" s="7"/>
      <c r="NI6" s="7"/>
      <c r="NJ6" s="7"/>
      <c r="NK6" s="7"/>
      <c r="NL6" s="7"/>
      <c r="NM6" s="7"/>
      <c r="NN6" s="7"/>
      <c r="NO6" s="7"/>
      <c r="NP6" s="7"/>
      <c r="NQ6" s="7"/>
      <c r="NR6" s="7"/>
      <c r="NS6" s="7"/>
      <c r="NT6" s="7"/>
      <c r="NU6" s="7"/>
      <c r="NV6" s="7"/>
      <c r="NW6" s="7"/>
      <c r="NX6" s="7"/>
      <c r="NY6" s="7"/>
      <c r="NZ6" s="7"/>
      <c r="OA6" s="7"/>
      <c r="OB6" s="7"/>
      <c r="OC6" s="7"/>
      <c r="OD6" s="7"/>
      <c r="OE6" s="7"/>
      <c r="OF6" s="7"/>
      <c r="OG6" s="7"/>
      <c r="OH6" s="7"/>
      <c r="OI6" s="7"/>
      <c r="OJ6" s="7"/>
      <c r="OK6" s="7"/>
      <c r="OL6" s="7"/>
      <c r="OM6" s="7"/>
      <c r="ON6" s="7"/>
      <c r="OO6" s="7"/>
      <c r="OP6" s="7"/>
      <c r="OQ6" s="7"/>
      <c r="OR6" s="7"/>
      <c r="OS6" s="7"/>
      <c r="OT6" s="7"/>
      <c r="OU6" s="7"/>
      <c r="OV6" s="7"/>
      <c r="OW6" s="7"/>
      <c r="OX6" s="7"/>
      <c r="OY6" s="7"/>
      <c r="OZ6" s="7"/>
      <c r="PA6" s="7"/>
      <c r="PB6" s="7"/>
      <c r="PC6" s="7"/>
      <c r="PD6" s="7"/>
      <c r="PE6" s="7"/>
      <c r="PF6" s="7"/>
      <c r="PG6" s="7"/>
      <c r="PH6" s="7"/>
      <c r="PI6" s="7"/>
      <c r="PJ6" s="7"/>
      <c r="PK6" s="7"/>
      <c r="PL6" s="7"/>
      <c r="PM6" s="7"/>
      <c r="PN6" s="7"/>
      <c r="PO6" s="7"/>
      <c r="PP6" s="7"/>
      <c r="PQ6" s="7"/>
      <c r="PR6" s="7"/>
      <c r="PS6" s="7"/>
      <c r="PT6" s="7"/>
      <c r="PU6" s="7"/>
      <c r="PV6" s="7"/>
      <c r="PW6" s="7"/>
      <c r="PX6" s="7"/>
      <c r="PY6" s="7"/>
      <c r="PZ6" s="7"/>
      <c r="QA6" s="7"/>
      <c r="QB6" s="7"/>
      <c r="QC6" s="7"/>
      <c r="QD6" s="7"/>
      <c r="QE6" s="7"/>
      <c r="QF6" s="7"/>
      <c r="QG6" s="7"/>
      <c r="QH6" s="7"/>
      <c r="QI6" s="7"/>
      <c r="QJ6" s="7"/>
      <c r="QK6" s="7"/>
      <c r="QL6" s="7"/>
      <c r="QM6" s="7"/>
      <c r="QN6" s="7"/>
      <c r="QO6" s="7"/>
      <c r="QP6" s="7"/>
      <c r="QQ6" s="7"/>
      <c r="QR6" s="7"/>
      <c r="QS6" s="7"/>
      <c r="QT6" s="7"/>
      <c r="QU6" s="7"/>
      <c r="QV6" s="7"/>
      <c r="QW6" s="7"/>
      <c r="QX6" s="7"/>
      <c r="QY6" s="7"/>
      <c r="QZ6" s="7"/>
      <c r="RA6" s="7"/>
      <c r="RB6" s="7"/>
      <c r="RC6" s="7"/>
      <c r="RD6" s="7"/>
      <c r="RE6" s="7"/>
      <c r="RF6" s="7"/>
      <c r="RG6" s="7"/>
      <c r="RH6" s="7"/>
      <c r="RI6" s="7"/>
      <c r="RJ6" s="7"/>
      <c r="RK6" s="7"/>
      <c r="RL6" s="7"/>
      <c r="RM6" s="7"/>
      <c r="RN6" s="7"/>
      <c r="RO6" s="7"/>
      <c r="RP6" s="7"/>
      <c r="RQ6" s="7"/>
      <c r="RR6" s="7"/>
      <c r="RS6" s="7"/>
      <c r="RT6" s="7"/>
      <c r="RU6" s="7"/>
      <c r="RV6" s="7"/>
      <c r="RW6" s="7"/>
      <c r="RX6" s="7"/>
      <c r="RY6" s="7"/>
      <c r="RZ6" s="7"/>
      <c r="SA6" s="7"/>
      <c r="SB6" s="7"/>
      <c r="SC6" s="7"/>
      <c r="SD6" s="7"/>
      <c r="SE6" s="7"/>
      <c r="SF6" s="7"/>
      <c r="SG6" s="7"/>
      <c r="SH6" s="7"/>
      <c r="SI6" s="7"/>
      <c r="SJ6" s="7"/>
      <c r="SK6" s="7"/>
      <c r="SL6" s="7"/>
      <c r="SM6" s="7"/>
      <c r="SN6" s="7"/>
      <c r="SO6" s="7"/>
      <c r="SP6" s="7"/>
      <c r="SQ6" s="7"/>
      <c r="SR6" s="7"/>
      <c r="SS6" s="7"/>
      <c r="ST6" s="7"/>
      <c r="SU6" s="7"/>
      <c r="SV6" s="7"/>
      <c r="SW6" s="7"/>
      <c r="SX6" s="7"/>
      <c r="SY6" s="7"/>
      <c r="SZ6" s="7"/>
      <c r="TA6" s="7"/>
      <c r="TB6" s="7"/>
      <c r="TC6" s="7"/>
      <c r="TD6" s="7"/>
      <c r="TE6" s="7"/>
      <c r="TF6" s="7"/>
      <c r="TG6" s="7"/>
      <c r="TH6" s="7"/>
      <c r="TI6" s="7"/>
      <c r="TJ6" s="7"/>
      <c r="TK6" s="7"/>
      <c r="TL6" s="7"/>
      <c r="TM6" s="7"/>
      <c r="TN6" s="7"/>
      <c r="TO6" s="7"/>
      <c r="TP6" s="7"/>
      <c r="TQ6" s="7"/>
      <c r="TR6" s="7"/>
      <c r="TS6" s="7"/>
      <c r="TT6" s="7"/>
      <c r="TU6" s="7"/>
      <c r="TV6" s="7"/>
      <c r="TW6" s="7"/>
      <c r="TX6" s="7"/>
      <c r="TY6" s="7"/>
      <c r="TZ6" s="7"/>
      <c r="UA6" s="7"/>
      <c r="UB6" s="7"/>
      <c r="UC6" s="7"/>
      <c r="UD6" s="7"/>
      <c r="UE6" s="7"/>
      <c r="UF6" s="7"/>
      <c r="UG6" s="7"/>
      <c r="UH6" s="7"/>
      <c r="UI6" s="7"/>
      <c r="UJ6" s="7"/>
      <c r="UK6" s="7"/>
      <c r="UL6" s="7"/>
      <c r="UM6" s="7"/>
    </row>
    <row r="7" spans="1:565" s="133" customFormat="1" ht="12.75" hidden="1" customHeight="1">
      <c r="A7" s="238"/>
      <c r="B7" s="238"/>
      <c r="C7" s="238"/>
      <c r="D7" s="238"/>
      <c r="E7" s="238"/>
      <c r="F7" s="240"/>
      <c r="G7" s="241"/>
      <c r="H7" s="238"/>
      <c r="I7" s="238"/>
      <c r="J7" s="260"/>
      <c r="K7" s="254"/>
      <c r="L7" s="255"/>
      <c r="M7" s="255"/>
      <c r="N7" s="255"/>
      <c r="O7" s="255"/>
      <c r="P7" s="255"/>
      <c r="Q7" s="255"/>
      <c r="R7" s="255"/>
      <c r="S7" s="255"/>
      <c r="T7" s="255"/>
      <c r="U7" s="255"/>
      <c r="V7" s="256"/>
      <c r="W7" s="255"/>
      <c r="X7" s="255"/>
      <c r="Y7" s="256"/>
      <c r="Z7" s="255"/>
      <c r="AA7" s="255"/>
      <c r="AB7" s="255"/>
      <c r="AC7" s="255"/>
      <c r="AD7" s="255"/>
      <c r="AE7" s="255"/>
      <c r="AF7" s="259"/>
      <c r="AG7" s="259"/>
      <c r="AH7" s="259"/>
      <c r="AI7" s="259"/>
      <c r="AJ7" s="257"/>
      <c r="AK7" s="170"/>
      <c r="AL7" s="170"/>
      <c r="AM7" s="170"/>
      <c r="AN7" s="170"/>
      <c r="AO7" s="171"/>
      <c r="AP7" s="318" t="s">
        <v>481</v>
      </c>
      <c r="AQ7" s="319"/>
      <c r="AR7" s="319"/>
      <c r="AS7" s="319"/>
      <c r="AT7" s="319"/>
      <c r="AU7" s="320"/>
      <c r="AV7" s="321">
        <f>IF(CR7="Weekly",CN7*1,BG7*1)</f>
        <v>44256</v>
      </c>
      <c r="AW7" s="322"/>
      <c r="AX7" s="322">
        <v>8</v>
      </c>
      <c r="AY7" s="322"/>
      <c r="AZ7" s="7"/>
      <c r="BA7" s="323" t="s">
        <v>482</v>
      </c>
      <c r="BB7" s="324"/>
      <c r="BC7" s="324"/>
      <c r="BD7" s="324"/>
      <c r="BE7" s="324"/>
      <c r="BF7" s="325"/>
      <c r="BG7" s="321">
        <f>DATE(BZ7,BS7,BN7)</f>
        <v>44256</v>
      </c>
      <c r="BH7" s="322"/>
      <c r="BI7" s="322">
        <v>8</v>
      </c>
      <c r="BJ7" s="322"/>
      <c r="BK7" s="326" t="s">
        <v>478</v>
      </c>
      <c r="BL7" s="326"/>
      <c r="BM7" s="326">
        <v>26</v>
      </c>
      <c r="BN7" s="327">
        <v>1</v>
      </c>
      <c r="BO7" s="327">
        <v>26</v>
      </c>
      <c r="BP7" s="326" t="s">
        <v>479</v>
      </c>
      <c r="BQ7" s="326"/>
      <c r="BR7" s="326">
        <v>10</v>
      </c>
      <c r="BS7" s="327">
        <v>3</v>
      </c>
      <c r="BT7" s="327">
        <v>10</v>
      </c>
      <c r="BU7" s="326" t="s">
        <v>480</v>
      </c>
      <c r="BV7" s="326"/>
      <c r="BW7" s="326">
        <v>7</v>
      </c>
      <c r="BX7" s="327">
        <v>12</v>
      </c>
      <c r="BY7" s="327">
        <v>7</v>
      </c>
      <c r="BZ7" s="327">
        <f>BX7+2009</f>
        <v>2021</v>
      </c>
      <c r="CA7" s="327"/>
      <c r="CB7" s="7"/>
      <c r="CC7" s="323" t="s">
        <v>483</v>
      </c>
      <c r="CD7" s="324"/>
      <c r="CE7" s="324">
        <v>7</v>
      </c>
      <c r="CF7" s="324"/>
      <c r="CG7" s="324"/>
      <c r="CH7" s="325"/>
      <c r="CI7" s="321">
        <f>BG7</f>
        <v>44256</v>
      </c>
      <c r="CJ7" s="322"/>
      <c r="CK7" s="322">
        <v>8</v>
      </c>
      <c r="CL7" s="322"/>
      <c r="CM7" s="314">
        <f>WEEKDAY(CI7,2)</f>
        <v>1</v>
      </c>
      <c r="CN7" s="321">
        <f>CI7-CM7+1</f>
        <v>44256</v>
      </c>
      <c r="CO7" s="322"/>
      <c r="CP7" s="322">
        <v>8</v>
      </c>
      <c r="CQ7" s="322"/>
      <c r="CR7" s="328" t="s">
        <v>470</v>
      </c>
      <c r="CS7" s="328"/>
      <c r="CT7" s="328"/>
      <c r="CU7" s="328"/>
      <c r="CV7" s="7"/>
      <c r="CW7" s="323" t="s">
        <v>484</v>
      </c>
      <c r="CX7" s="324"/>
      <c r="CY7" s="324"/>
      <c r="CZ7" s="324"/>
      <c r="DA7" s="324"/>
      <c r="DB7" s="325"/>
      <c r="DC7" s="321">
        <f>DATE(DV7,DO7,DJ7)</f>
        <v>44307</v>
      </c>
      <c r="DD7" s="322"/>
      <c r="DE7" s="322">
        <v>8</v>
      </c>
      <c r="DF7" s="322"/>
      <c r="DG7" s="326" t="s">
        <v>478</v>
      </c>
      <c r="DH7" s="326"/>
      <c r="DI7" s="326">
        <v>7</v>
      </c>
      <c r="DJ7" s="327">
        <v>21</v>
      </c>
      <c r="DK7" s="327">
        <v>7</v>
      </c>
      <c r="DL7" s="326" t="s">
        <v>479</v>
      </c>
      <c r="DM7" s="326"/>
      <c r="DN7" s="326">
        <v>11</v>
      </c>
      <c r="DO7" s="327">
        <v>4</v>
      </c>
      <c r="DP7" s="327">
        <v>11</v>
      </c>
      <c r="DQ7" s="326" t="s">
        <v>480</v>
      </c>
      <c r="DR7" s="326"/>
      <c r="DS7" s="326">
        <v>7</v>
      </c>
      <c r="DT7" s="327">
        <v>12</v>
      </c>
      <c r="DU7" s="327">
        <v>7</v>
      </c>
      <c r="DV7" s="327">
        <f>DT7+2009</f>
        <v>2021</v>
      </c>
      <c r="DW7" s="327"/>
      <c r="DX7" s="7"/>
      <c r="DY7" s="323" t="s">
        <v>485</v>
      </c>
      <c r="DZ7" s="324"/>
      <c r="EA7" s="324">
        <v>7</v>
      </c>
      <c r="EB7" s="324"/>
      <c r="EC7" s="324"/>
      <c r="ED7" s="325"/>
      <c r="EE7" s="321">
        <f ca="1">TODAY()</f>
        <v>44264</v>
      </c>
      <c r="EF7" s="322"/>
      <c r="EG7" s="322">
        <v>8</v>
      </c>
      <c r="EH7" s="322"/>
      <c r="EI7" s="327">
        <f ca="1">DAY(EE7)</f>
        <v>9</v>
      </c>
      <c r="EJ7" s="327"/>
      <c r="EK7" s="327">
        <f ca="1">MONTH(EE7)</f>
        <v>3</v>
      </c>
      <c r="EL7" s="327"/>
      <c r="EM7" s="327">
        <f ca="1">YEAR(EE7)</f>
        <v>2021</v>
      </c>
      <c r="EN7" s="327"/>
      <c r="EO7" s="7"/>
      <c r="EP7" s="323" t="s">
        <v>486</v>
      </c>
      <c r="EQ7" s="324"/>
      <c r="ER7" s="324"/>
      <c r="ES7" s="324"/>
      <c r="ET7" s="324"/>
      <c r="EU7" s="325"/>
      <c r="EV7" s="321">
        <v>44500</v>
      </c>
      <c r="EW7" s="322"/>
      <c r="EX7" s="322">
        <v>8</v>
      </c>
      <c r="EY7" s="322"/>
      <c r="EZ7" s="327">
        <f>DAY(EV7)</f>
        <v>31</v>
      </c>
      <c r="FA7" s="327"/>
      <c r="FB7" s="327">
        <f>MONTH(EV7)</f>
        <v>10</v>
      </c>
      <c r="FC7" s="327"/>
      <c r="FD7" s="327">
        <f>YEAR(EV7)</f>
        <v>2021</v>
      </c>
      <c r="FE7" s="327"/>
      <c r="FF7" s="7"/>
      <c r="FG7" s="323" t="s">
        <v>487</v>
      </c>
      <c r="FH7" s="324"/>
      <c r="FI7" s="324"/>
      <c r="FJ7" s="324"/>
      <c r="FK7" s="324"/>
      <c r="FL7" s="325"/>
      <c r="FM7" s="327" t="s">
        <v>1653</v>
      </c>
      <c r="FN7" s="327"/>
      <c r="FO7" s="327"/>
      <c r="FP7" s="327" t="b">
        <v>0</v>
      </c>
      <c r="FQ7" s="327"/>
      <c r="FR7" s="327"/>
      <c r="FS7" s="314">
        <v>1</v>
      </c>
      <c r="FT7" s="327" t="b">
        <v>1</v>
      </c>
      <c r="FU7" s="327"/>
      <c r="FV7" s="327"/>
      <c r="FW7" s="7"/>
      <c r="FX7" s="323" t="s">
        <v>488</v>
      </c>
      <c r="FY7" s="324"/>
      <c r="FZ7" s="324"/>
      <c r="GA7" s="324"/>
      <c r="GB7" s="324"/>
      <c r="GC7" s="325">
        <v>1</v>
      </c>
      <c r="GD7" s="314">
        <v>2</v>
      </c>
      <c r="GE7" s="314">
        <f>IF(GD7=1,1,0)</f>
        <v>0</v>
      </c>
      <c r="GF7" s="7"/>
      <c r="GG7" s="334" t="s">
        <v>489</v>
      </c>
      <c r="GH7" s="334"/>
      <c r="GI7" s="334"/>
      <c r="GJ7" s="334"/>
      <c r="GK7" s="334">
        <v>1</v>
      </c>
      <c r="GL7" s="314">
        <v>2</v>
      </c>
      <c r="GM7" s="343" t="str">
        <f ca="1">OFFSET(HideValues!B51,GL7-1,0)</f>
        <v>W</v>
      </c>
      <c r="GN7" s="344"/>
      <c r="GO7" s="7"/>
      <c r="GP7" s="334" t="s">
        <v>490</v>
      </c>
      <c r="GQ7" s="334"/>
      <c r="GR7" s="334"/>
      <c r="GS7" s="334">
        <v>1</v>
      </c>
      <c r="GT7" s="334">
        <v>1</v>
      </c>
      <c r="GU7" s="314">
        <v>1</v>
      </c>
      <c r="GV7" s="314">
        <f ca="1">OFFSET(HideValues!$J$45,GU7-1,0)</f>
        <v>21</v>
      </c>
      <c r="GW7" s="7"/>
      <c r="GX7" s="334" t="s">
        <v>491</v>
      </c>
      <c r="GY7" s="334"/>
      <c r="GZ7" s="334">
        <v>1</v>
      </c>
      <c r="HA7" s="314">
        <v>1</v>
      </c>
      <c r="HB7" s="314">
        <f ca="1">OFFSET(HideValues!F45,HA7-1,0)</f>
        <v>1</v>
      </c>
      <c r="HC7" s="7"/>
      <c r="HD7" s="334" t="s">
        <v>33</v>
      </c>
      <c r="HE7" s="334"/>
      <c r="HF7" s="334"/>
      <c r="HG7" s="162" t="b">
        <v>0</v>
      </c>
      <c r="HH7" s="7"/>
      <c r="HI7" s="334" t="s">
        <v>492</v>
      </c>
      <c r="HJ7" s="334"/>
      <c r="HK7" s="318"/>
      <c r="HL7" s="335" t="b">
        <v>0</v>
      </c>
      <c r="HM7" s="335"/>
      <c r="HN7" s="335"/>
      <c r="HO7" s="7"/>
      <c r="HP7" s="7"/>
      <c r="HQ7" s="7"/>
      <c r="HR7" s="7"/>
      <c r="HS7" s="7"/>
      <c r="HT7" s="7"/>
      <c r="HU7" s="7"/>
      <c r="HV7" s="336" t="s">
        <v>476</v>
      </c>
      <c r="HW7" s="337"/>
      <c r="HX7" s="337"/>
      <c r="HY7" s="337"/>
      <c r="HZ7" s="337"/>
      <c r="IA7" s="159" t="str">
        <f>IF(Tools!D11&lt;&gt;"",Tools!D11,"")</f>
        <v/>
      </c>
      <c r="IB7" s="159" t="str">
        <f>IF(Tools!D12&lt;&gt;"",Tools!D12,"")</f>
        <v/>
      </c>
      <c r="IC7" s="159" t="str">
        <f>IF(Tools!D13&lt;&gt;"",Tools!D13,"")</f>
        <v/>
      </c>
      <c r="ID7" s="159" t="str">
        <f>IF(Tools!D14&lt;&gt;"",Tools!D14,"")</f>
        <v/>
      </c>
      <c r="IE7" s="159" t="str">
        <f>IF(Tools!D15&lt;&gt;"",Tools!D15,"")</f>
        <v/>
      </c>
      <c r="IF7" s="159" t="str">
        <f>IF(Tools!D16&lt;&gt;"",Tools!D16,"")</f>
        <v/>
      </c>
      <c r="IG7" s="159" t="str">
        <f>IF(Tools!D17&lt;&gt;"",Tools!D17,"")</f>
        <v/>
      </c>
      <c r="IH7" s="158" t="str">
        <f>IF(Tools!D18&lt;&gt;"",Tools!D18,"")</f>
        <v/>
      </c>
      <c r="II7" s="160" t="str">
        <f>IF(Tools!D19&lt;&gt;"",Tools!D19,"")</f>
        <v/>
      </c>
      <c r="IJ7" s="160" t="str">
        <f>IF(Tools!D20&lt;&gt;"",Tools!D20,"")</f>
        <v/>
      </c>
      <c r="IK7" s="160" t="str">
        <f>IF(Tools!D21&lt;&gt;"",Tools!D21,"")</f>
        <v/>
      </c>
      <c r="IL7" s="160" t="str">
        <f>IF(Tools!D22&lt;&gt;"",Tools!D22,"")</f>
        <v/>
      </c>
      <c r="IM7" s="160" t="str">
        <f>IF(Tools!D23&lt;&gt;"",Tools!D23,"")</f>
        <v/>
      </c>
      <c r="IN7" s="158" t="str">
        <f>IF(Tools!D24&lt;&gt;"",Tools!D24,"")</f>
        <v/>
      </c>
      <c r="IO7" s="158" t="str">
        <f>IF(Tools!D25&lt;&gt;"",Tools!D25,"")</f>
        <v/>
      </c>
      <c r="IP7" s="158" t="str">
        <f>IF(Tools!D26&lt;&gt;"",Tools!D26,"")</f>
        <v/>
      </c>
      <c r="IQ7" s="158" t="str">
        <f>IF(Tools!D27&lt;&gt;"",Tools!D27,"")</f>
        <v/>
      </c>
      <c r="IR7" s="158" t="str">
        <f>IF(Tools!D28&lt;&gt;"",Tools!D28,"")</f>
        <v/>
      </c>
      <c r="IS7" s="158" t="str">
        <f>IF(Tools!D29&lt;&gt;"",Tools!D29,"")</f>
        <v/>
      </c>
      <c r="IT7" s="158" t="str">
        <f>IF(Tools!D30&lt;&gt;"",Tools!D30,"")</f>
        <v/>
      </c>
      <c r="IU7" s="158" t="str">
        <f>IF(Tools!D31&lt;&gt;"",Tools!D31,"")</f>
        <v/>
      </c>
      <c r="IV7" s="158" t="str">
        <f>IF(Tools!D32&lt;&gt;"",Tools!D32,"")</f>
        <v/>
      </c>
      <c r="IW7" s="158" t="str">
        <f>IF(Tools!D33&lt;&gt;"",Tools!D33,"")</f>
        <v/>
      </c>
      <c r="IX7" s="158" t="str">
        <f>IF(Tools!D34&lt;&gt;"",Tools!D34,"")</f>
        <v/>
      </c>
      <c r="IY7" s="158" t="str">
        <f>IF(Tools!D35&lt;&gt;"",Tools!D35,"")</f>
        <v/>
      </c>
      <c r="IZ7" s="160" t="str">
        <f>IF(Tools!D36&lt;&gt;"",Tools!D36,"")</f>
        <v/>
      </c>
      <c r="JA7" s="160" t="str">
        <f>IF(Tools!D37&lt;&gt;"",Tools!D37,"")</f>
        <v/>
      </c>
      <c r="JB7" s="160" t="str">
        <f>IF(Tools!D38&lt;&gt;"",Tools!D38,"")</f>
        <v/>
      </c>
      <c r="JC7" s="160" t="str">
        <f>IF(Tools!D39&lt;&gt;"",Tools!D39,"")</f>
        <v/>
      </c>
      <c r="JD7" s="160" t="str">
        <f>IF(Tools!D40&lt;&gt;"",Tools!D40,"")</f>
        <v/>
      </c>
      <c r="JE7" s="160" t="str">
        <f>IF(Tools!D41&lt;&gt;"",Tools!D41,"")</f>
        <v/>
      </c>
      <c r="JF7" s="160" t="str">
        <f>IF(Tools!D42&lt;&gt;"",Tools!D42,"")</f>
        <v/>
      </c>
      <c r="JG7" s="160" t="str">
        <f>IF(Tools!D43&lt;&gt;"",Tools!D43,"")</f>
        <v/>
      </c>
      <c r="JH7" s="160" t="str">
        <f>IF(Tools!D44&lt;&gt;"",Tools!D44,"")</f>
        <v/>
      </c>
      <c r="JI7" s="160" t="str">
        <f>IF(Tools!D45&lt;&gt;"",Tools!D45,"")</f>
        <v/>
      </c>
      <c r="JJ7" s="160" t="str">
        <f>IF(Tools!D46&lt;&gt;"",Tools!D46,"")</f>
        <v/>
      </c>
      <c r="JK7" s="159" t="str">
        <f>IF(Tools!D47&lt;&gt;"",Tools!D47,"")</f>
        <v/>
      </c>
      <c r="JL7" s="159" t="str">
        <f>IF(Tools!D48&lt;&gt;"",Tools!D48,"")</f>
        <v/>
      </c>
      <c r="JM7" s="159" t="str">
        <f>IF(Tools!D49&lt;&gt;"",Tools!D49,"")</f>
        <v/>
      </c>
      <c r="JN7" s="159" t="str">
        <f>IF(Tools!D50&lt;&gt;"",Tools!D50,"")</f>
        <v/>
      </c>
      <c r="JO7" s="159" t="str">
        <f>IF(Tools!D51&lt;&gt;"",Tools!D51,"")</f>
        <v/>
      </c>
      <c r="JP7" s="159" t="str">
        <f>IF(Tools!D52&lt;&gt;"",Tools!D52,"")</f>
        <v/>
      </c>
      <c r="JQ7" s="159" t="str">
        <f>IF(Tools!D53&lt;&gt;"",Tools!D53,"")</f>
        <v/>
      </c>
      <c r="JR7" s="159" t="str">
        <f>IF(Tools!D54&lt;&gt;"",Tools!D54,"")</f>
        <v/>
      </c>
      <c r="JS7" s="159" t="str">
        <f>IF(Tools!D55&lt;&gt;"",Tools!D55,"")</f>
        <v/>
      </c>
      <c r="JT7" s="159" t="str">
        <f>IF(Tools!D56&lt;&gt;"",Tools!D56,"")</f>
        <v/>
      </c>
      <c r="JU7" s="159" t="str">
        <f>IF(Tools!D57&lt;&gt;"",Tools!D57,"")</f>
        <v/>
      </c>
      <c r="JV7" s="7"/>
      <c r="JW7" s="318" t="s">
        <v>477</v>
      </c>
      <c r="JX7" s="319"/>
      <c r="JY7" s="319"/>
      <c r="JZ7" s="319"/>
      <c r="KA7" s="319"/>
      <c r="KB7" s="319"/>
      <c r="KC7" s="319"/>
      <c r="KD7" s="320"/>
      <c r="KE7" s="161" t="str">
        <f>IF(HideValues!A83&lt;&gt;"",HideValues!A83,"")</f>
        <v/>
      </c>
      <c r="KF7" s="161" t="str">
        <f>IF(HideValues!B83&lt;&gt;"",HideValues!B83,"")</f>
        <v/>
      </c>
      <c r="KG7" s="161" t="str">
        <f>IF(HideValues!C83&lt;&gt;"",HideValues!C83,"")</f>
        <v/>
      </c>
      <c r="KH7" s="161" t="str">
        <f>IF(HideValues!D83&lt;&gt;"",HideValues!D83,"")</f>
        <v/>
      </c>
      <c r="KI7" s="161" t="str">
        <f>IF(HideValues!E83&lt;&gt;"",HideValues!E83,"")</f>
        <v/>
      </c>
      <c r="KJ7" s="161" t="str">
        <f>IF(HideValues!F83&lt;&gt;"",HideValues!F83,"")</f>
        <v/>
      </c>
      <c r="KK7" s="161" t="str">
        <f>IF(HideValues!G83&lt;&gt;"",HideValues!G83,"")</f>
        <v/>
      </c>
      <c r="KL7" s="161" t="str">
        <f>IF(HideValues!H83&lt;&gt;"",HideValues!H83,"")</f>
        <v/>
      </c>
      <c r="KM7" s="161" t="str">
        <f>IF(HideValues!I83&lt;&gt;"",HideValues!I83,"")</f>
        <v/>
      </c>
      <c r="KN7" s="161" t="str">
        <f>IF(HideValues!J83&lt;&gt;"",HideValues!J83,"")</f>
        <v/>
      </c>
      <c r="KO7" s="7"/>
      <c r="KP7" s="333" t="s">
        <v>732</v>
      </c>
      <c r="KQ7" s="333"/>
      <c r="KR7" s="333"/>
      <c r="KS7" s="333"/>
      <c r="KT7" s="333"/>
      <c r="KU7" s="333"/>
      <c r="KV7" s="7"/>
      <c r="KW7" s="9"/>
      <c r="KX7" s="7"/>
      <c r="KY7" s="329" t="s">
        <v>708</v>
      </c>
      <c r="KZ7" s="330"/>
      <c r="LA7" s="330"/>
      <c r="LB7" s="331"/>
      <c r="LC7" s="7"/>
      <c r="LD7" s="49"/>
      <c r="LE7" s="7"/>
      <c r="LF7" s="329" t="s">
        <v>710</v>
      </c>
      <c r="LG7" s="330"/>
      <c r="LH7" s="330"/>
      <c r="LI7" s="331"/>
      <c r="LJ7" s="7"/>
      <c r="LK7" s="204"/>
      <c r="LM7" s="329" t="s">
        <v>709</v>
      </c>
      <c r="LN7" s="330"/>
      <c r="LO7" s="330"/>
      <c r="LP7" s="331"/>
      <c r="LQ7" s="7"/>
      <c r="LR7" s="46"/>
      <c r="LS7" s="7"/>
      <c r="LT7" s="329" t="s">
        <v>712</v>
      </c>
      <c r="LU7" s="330"/>
      <c r="LV7" s="330"/>
      <c r="LW7" s="331">
        <v>1</v>
      </c>
      <c r="LX7" s="207">
        <v>1</v>
      </c>
      <c r="LY7" s="7">
        <v>1</v>
      </c>
      <c r="LZ7" s="333" t="s">
        <v>735</v>
      </c>
      <c r="MA7" s="333"/>
      <c r="MB7" s="333"/>
      <c r="MC7" s="333"/>
      <c r="MD7" s="333"/>
      <c r="ME7" s="333"/>
      <c r="MF7" s="7"/>
      <c r="MG7" s="213"/>
      <c r="MH7" s="7"/>
      <c r="MI7" s="7"/>
      <c r="MJ7" s="7"/>
      <c r="MK7" s="7"/>
      <c r="ML7" s="7"/>
      <c r="MM7" s="333" t="s">
        <v>731</v>
      </c>
      <c r="MN7" s="333"/>
      <c r="MO7" s="333"/>
      <c r="MP7" s="333"/>
      <c r="MQ7" s="333"/>
      <c r="MR7" s="333"/>
      <c r="MS7" s="7"/>
      <c r="MT7" s="9"/>
      <c r="MU7" s="7"/>
      <c r="MV7" s="333" t="s">
        <v>733</v>
      </c>
      <c r="MW7" s="333"/>
      <c r="MX7" s="333"/>
      <c r="MY7" s="333"/>
      <c r="MZ7" s="333"/>
      <c r="NA7" s="333"/>
      <c r="NB7" s="7"/>
      <c r="NC7" s="9"/>
      <c r="ND7" s="7"/>
      <c r="NE7" s="333" t="s">
        <v>734</v>
      </c>
      <c r="NF7" s="333"/>
      <c r="NG7" s="333"/>
      <c r="NH7" s="333"/>
      <c r="NI7" s="333"/>
      <c r="NJ7" s="333"/>
      <c r="NK7" s="7"/>
      <c r="NL7" s="9"/>
      <c r="NM7" s="7"/>
      <c r="NN7" s="333" t="s">
        <v>736</v>
      </c>
      <c r="NO7" s="333"/>
      <c r="NP7" s="333"/>
      <c r="NQ7" s="333"/>
      <c r="NR7" s="333"/>
      <c r="NS7" s="333"/>
      <c r="NT7" s="7"/>
      <c r="NU7" s="9"/>
      <c r="NV7" s="7"/>
      <c r="NW7" s="329" t="s">
        <v>814</v>
      </c>
      <c r="NX7" s="330"/>
      <c r="NY7" s="330"/>
      <c r="NZ7" s="331"/>
      <c r="OA7" s="7"/>
      <c r="OB7" s="216"/>
      <c r="OC7" s="7"/>
      <c r="OD7" s="329" t="s">
        <v>815</v>
      </c>
      <c r="OE7" s="330"/>
      <c r="OF7" s="330"/>
      <c r="OG7" s="331"/>
      <c r="OH7" s="7"/>
      <c r="OI7" s="8"/>
      <c r="OJ7" s="7"/>
      <c r="OK7" s="7"/>
      <c r="OL7" s="329" t="s">
        <v>992</v>
      </c>
      <c r="OM7" s="330"/>
      <c r="ON7" s="330"/>
      <c r="OO7" s="331"/>
      <c r="OP7" s="7"/>
      <c r="OQ7" s="8"/>
      <c r="OR7" s="7"/>
      <c r="OS7" s="7"/>
      <c r="OT7" s="7"/>
      <c r="OU7" s="7"/>
      <c r="OV7" s="7"/>
      <c r="OW7" s="7"/>
      <c r="OX7" s="7"/>
      <c r="OY7" s="7"/>
      <c r="OZ7" s="7"/>
      <c r="PA7" s="7"/>
      <c r="PB7" s="7"/>
      <c r="PC7" s="7"/>
      <c r="PD7" s="7"/>
      <c r="PE7" s="338" t="s">
        <v>876</v>
      </c>
      <c r="PF7" s="339"/>
      <c r="PG7" s="339"/>
      <c r="PH7" s="339"/>
      <c r="PI7" s="339"/>
      <c r="PJ7" s="339"/>
      <c r="PK7" s="339"/>
      <c r="PL7" s="339"/>
      <c r="PM7" s="339"/>
      <c r="PN7" s="339"/>
      <c r="PO7" s="340"/>
      <c r="PP7" s="341" t="s">
        <v>1654</v>
      </c>
      <c r="PQ7" s="342"/>
      <c r="PR7" s="342"/>
      <c r="PS7" s="7"/>
      <c r="PT7" s="7"/>
      <c r="PU7" s="7"/>
      <c r="PV7" s="7"/>
      <c r="PW7" s="329" t="s">
        <v>902</v>
      </c>
      <c r="PX7" s="330"/>
      <c r="PY7" s="330"/>
      <c r="PZ7" s="331"/>
      <c r="QA7" s="235" t="b">
        <v>0</v>
      </c>
      <c r="QB7" s="235" t="b">
        <v>0</v>
      </c>
      <c r="QC7" s="235" t="b">
        <v>0</v>
      </c>
      <c r="QD7" s="235" t="b">
        <v>0</v>
      </c>
      <c r="QE7" s="235" t="b">
        <v>0</v>
      </c>
      <c r="QF7" s="235" t="b">
        <v>0</v>
      </c>
      <c r="QG7" s="235" t="b">
        <v>0</v>
      </c>
      <c r="QH7" s="235" t="b">
        <v>0</v>
      </c>
      <c r="QI7" s="235" t="b">
        <v>0</v>
      </c>
      <c r="QJ7" s="235" t="b">
        <v>0</v>
      </c>
      <c r="QK7" s="235" t="b">
        <v>0</v>
      </c>
      <c r="QL7" s="235" t="b">
        <v>0</v>
      </c>
      <c r="QM7" s="235" t="b">
        <v>0</v>
      </c>
      <c r="QN7" s="235" t="b">
        <v>0</v>
      </c>
      <c r="QO7" s="235" t="b">
        <v>0</v>
      </c>
      <c r="QP7" s="235" t="b">
        <v>0</v>
      </c>
      <c r="QQ7" s="235" t="b">
        <v>0</v>
      </c>
      <c r="QR7" s="235" t="b">
        <v>0</v>
      </c>
      <c r="QS7" s="235" t="b">
        <v>0</v>
      </c>
      <c r="QT7" s="7"/>
      <c r="QU7" s="7"/>
      <c r="QV7" s="7"/>
      <c r="QW7" s="7"/>
      <c r="QX7" s="7"/>
      <c r="QY7" s="7"/>
      <c r="QZ7" s="7"/>
      <c r="RA7" s="7"/>
      <c r="RB7" s="7"/>
      <c r="RC7" s="7"/>
      <c r="RD7" s="7"/>
      <c r="RE7" s="7"/>
      <c r="RF7" s="7"/>
      <c r="RG7" s="7"/>
      <c r="RH7" s="329" t="s">
        <v>1020</v>
      </c>
      <c r="RI7" s="330"/>
      <c r="RJ7" s="330"/>
      <c r="RK7" s="331"/>
      <c r="RL7" s="235" t="s">
        <v>1024</v>
      </c>
      <c r="RM7" s="235" t="s">
        <v>1025</v>
      </c>
      <c r="RN7" s="235" t="s">
        <v>1037</v>
      </c>
      <c r="RO7" s="7"/>
      <c r="RP7" s="7"/>
      <c r="RQ7" s="7"/>
      <c r="RR7" s="7"/>
      <c r="RS7" s="7"/>
      <c r="RT7" s="7"/>
      <c r="RU7" s="7"/>
      <c r="RV7" s="7"/>
      <c r="RW7" s="7"/>
      <c r="RX7" s="7"/>
      <c r="RY7" s="7"/>
      <c r="RZ7" s="7"/>
      <c r="SA7" s="7"/>
      <c r="SB7" s="7"/>
      <c r="SC7" s="7"/>
      <c r="SD7" s="7"/>
      <c r="SE7" s="7"/>
      <c r="SF7" s="7"/>
      <c r="SG7" s="7"/>
      <c r="SH7" s="7"/>
      <c r="SI7" s="7"/>
      <c r="SJ7" s="7"/>
      <c r="SK7" s="7"/>
      <c r="SL7" s="7"/>
      <c r="SM7" s="7"/>
      <c r="SN7" s="7"/>
      <c r="SO7" s="7"/>
      <c r="SP7" s="7"/>
      <c r="SQ7" s="7"/>
      <c r="SR7" s="7"/>
      <c r="SS7" s="7"/>
      <c r="ST7" s="7"/>
      <c r="SU7" s="7"/>
      <c r="SV7" s="7"/>
      <c r="SW7" s="7"/>
      <c r="SX7" s="7"/>
      <c r="SY7" s="7"/>
      <c r="SZ7" s="7"/>
      <c r="TA7" s="7"/>
      <c r="TB7" s="7"/>
      <c r="TC7" s="7"/>
      <c r="TD7" s="7"/>
      <c r="TE7" s="7"/>
      <c r="TF7" s="7"/>
      <c r="TG7" s="7"/>
      <c r="TH7" s="7"/>
      <c r="TI7" s="7"/>
      <c r="TJ7" s="7"/>
      <c r="TK7" s="7"/>
      <c r="TL7" s="7"/>
      <c r="TM7" s="7"/>
      <c r="TN7" s="7"/>
      <c r="TO7" s="7"/>
      <c r="TP7" s="7"/>
      <c r="TQ7" s="7"/>
      <c r="TR7" s="7"/>
      <c r="TS7" s="7"/>
      <c r="TT7" s="7"/>
      <c r="TU7" s="7"/>
      <c r="TV7" s="7"/>
      <c r="TW7" s="7"/>
      <c r="TX7" s="7"/>
      <c r="TY7" s="7"/>
      <c r="TZ7" s="7"/>
      <c r="UA7" s="7"/>
      <c r="UB7" s="7"/>
      <c r="UC7" s="7"/>
      <c r="UD7" s="7"/>
      <c r="UE7" s="7"/>
      <c r="UF7" s="7"/>
      <c r="UG7" s="7"/>
      <c r="UH7" s="7"/>
      <c r="UI7" s="7"/>
      <c r="UJ7" s="7"/>
      <c r="UK7" s="7"/>
      <c r="UL7" s="7"/>
      <c r="UM7" s="7"/>
      <c r="UN7" s="7"/>
      <c r="UO7" s="7"/>
      <c r="UP7" s="7"/>
      <c r="UQ7" s="7"/>
      <c r="UR7" s="7"/>
      <c r="US7" s="7"/>
    </row>
    <row r="8" spans="1:565" s="133" customFormat="1" ht="15" hidden="1" customHeight="1">
      <c r="A8" s="238"/>
      <c r="B8" s="238"/>
      <c r="C8" s="238"/>
      <c r="D8" s="238"/>
      <c r="E8" s="238"/>
      <c r="F8" s="241"/>
      <c r="G8" s="241"/>
      <c r="H8" s="238"/>
      <c r="I8" s="238"/>
      <c r="J8" s="248"/>
      <c r="K8" s="243"/>
      <c r="L8" s="239"/>
      <c r="M8" s="243"/>
      <c r="N8" s="243"/>
      <c r="O8" s="243"/>
      <c r="P8" s="243"/>
      <c r="Q8" s="243"/>
      <c r="R8" s="243"/>
      <c r="S8" s="243"/>
      <c r="T8" s="243"/>
      <c r="U8" s="243"/>
      <c r="V8" s="243"/>
      <c r="W8" s="243"/>
      <c r="X8" s="243"/>
      <c r="Y8" s="242" t="s">
        <v>711</v>
      </c>
      <c r="Z8" s="244"/>
      <c r="AA8" s="244"/>
      <c r="AB8" s="242"/>
      <c r="AC8" s="244"/>
      <c r="AD8" s="239"/>
      <c r="AE8" s="239"/>
      <c r="AF8" s="239"/>
      <c r="AG8" s="239"/>
      <c r="AH8" s="239"/>
      <c r="AI8" s="253" t="s">
        <v>475</v>
      </c>
      <c r="AJ8" s="201">
        <f>IF(Work_D_Only_Bool,NETWORKDAYS.INTL(AJ9,AJ9,WE_Days,Tools!$B$10:$B$55),1)</f>
        <v>1</v>
      </c>
      <c r="AK8" s="201">
        <f>IF(Work_D_Only_Bool,NETWORKDAYS.INTL(AK9,AK9,WE_Days,Tools!$B$10:$B$55),1)</f>
        <v>1</v>
      </c>
      <c r="AL8" s="201">
        <f>IF(Work_D_Only_Bool,NETWORKDAYS.INTL(AL9,AL9,WE_Days,Tools!$B$10:$B$55),1)</f>
        <v>1</v>
      </c>
      <c r="AM8" s="201">
        <f>IF(Work_D_Only_Bool,NETWORKDAYS.INTL(AM9,AM9,WE_Days,Tools!$B$10:$B$55),1)</f>
        <v>1</v>
      </c>
      <c r="AN8" s="156">
        <f>IF(Work_D_Only_Bool,NETWORKDAYS.INTL(AN9,AN9,WE_Days,Tools!$B$10:$B$55),1)</f>
        <v>1</v>
      </c>
      <c r="AO8" s="156">
        <f>IF(Work_D_Only_Bool,NETWORKDAYS.INTL(AO9,AO9,WE_Days,Tools!$B$10:$B$55),1)</f>
        <v>1</v>
      </c>
      <c r="AP8" s="156">
        <f>IF(Work_D_Only_Bool,NETWORKDAYS.INTL(AP9,AP9,WE_Days,Tools!$B$10:$B$55),1)</f>
        <v>1</v>
      </c>
      <c r="AQ8" s="156">
        <f>IF(Work_D_Only_Bool,NETWORKDAYS.INTL(AQ9,AQ9,WE_Days,Tools!$B$10:$B$55),1)</f>
        <v>1</v>
      </c>
      <c r="AR8" s="156">
        <f>IF(Work_D_Only_Bool,NETWORKDAYS.INTL(AR9,AR9,WE_Days,Tools!$B$10:$B$55),1)</f>
        <v>1</v>
      </c>
      <c r="AS8" s="156">
        <f>IF(Work_D_Only_Bool,NETWORKDAYS.INTL(AS9,AS9,WE_Days,Tools!$B$10:$B$55),1)</f>
        <v>1</v>
      </c>
      <c r="AT8" s="156">
        <f>IF(Work_D_Only_Bool,NETWORKDAYS.INTL(AT9,AT9,WE_Days,Tools!$B$10:$B$55),1)</f>
        <v>1</v>
      </c>
      <c r="AU8" s="156">
        <f>IF(Work_D_Only_Bool,NETWORKDAYS.INTL(AU9,AU9,WE_Days,Tools!$B$10:$B$55),1)</f>
        <v>1</v>
      </c>
      <c r="AV8" s="156">
        <f>IF(Work_D_Only_Bool,NETWORKDAYS.INTL(AV9,AV9,WE_Days,Tools!$B$10:$B$55),1)</f>
        <v>1</v>
      </c>
      <c r="AW8" s="156">
        <f>IF(Work_D_Only_Bool,NETWORKDAYS.INTL(AW9,AW9,WE_Days,Tools!$B$10:$B$55),1)</f>
        <v>1</v>
      </c>
      <c r="AX8" s="156">
        <f>IF(Work_D_Only_Bool,NETWORKDAYS.INTL(AX9,AX9,WE_Days,Tools!$B$10:$B$55),1)</f>
        <v>1</v>
      </c>
      <c r="AY8" s="156">
        <f>IF(Work_D_Only_Bool,NETWORKDAYS.INTL(AY9,AY9,WE_Days,Tools!$B$10:$B$55),1)</f>
        <v>1</v>
      </c>
      <c r="AZ8" s="156">
        <f>IF(Work_D_Only_Bool,NETWORKDAYS.INTL(AZ9,AZ9,WE_Days,Tools!$B$10:$B$55),1)</f>
        <v>1</v>
      </c>
      <c r="BA8" s="156">
        <f>IF(Work_D_Only_Bool,NETWORKDAYS.INTL(BA9,BA9,WE_Days,Tools!$B$10:$B$55),1)</f>
        <v>1</v>
      </c>
      <c r="BB8" s="156">
        <f>IF(Work_D_Only_Bool,NETWORKDAYS.INTL(BB9,BB9,WE_Days,Tools!$B$10:$B$55),1)</f>
        <v>1</v>
      </c>
      <c r="BC8" s="156">
        <f>IF(Work_D_Only_Bool,NETWORKDAYS.INTL(BC9,BC9,WE_Days,Tools!$B$10:$B$55),1)</f>
        <v>1</v>
      </c>
      <c r="BD8" s="156">
        <f>IF(Work_D_Only_Bool,NETWORKDAYS.INTL(BD9,BD9,WE_Days,Tools!$B$10:$B$55),1)</f>
        <v>1</v>
      </c>
      <c r="BE8" s="156">
        <f>IF(Work_D_Only_Bool,NETWORKDAYS.INTL(BE9,BE9,WE_Days,Tools!$B$10:$B$55),1)</f>
        <v>1</v>
      </c>
      <c r="BF8" s="156">
        <f>IF(Work_D_Only_Bool,NETWORKDAYS.INTL(BF9,BF9,WE_Days,Tools!$B$10:$B$55),1)</f>
        <v>1</v>
      </c>
      <c r="BG8" s="156">
        <f>IF(Work_D_Only_Bool,NETWORKDAYS.INTL(BG9,BG9,WE_Days,Tools!$B$10:$B$55),1)</f>
        <v>1</v>
      </c>
      <c r="BH8" s="156">
        <f>IF(Work_D_Only_Bool,NETWORKDAYS.INTL(BH9,BH9,WE_Days,Tools!$B$10:$B$55),1)</f>
        <v>1</v>
      </c>
      <c r="BI8" s="156">
        <f>IF(Work_D_Only_Bool,NETWORKDAYS.INTL(BI9,BI9,WE_Days,Tools!$B$10:$B$55),1)</f>
        <v>1</v>
      </c>
      <c r="BJ8" s="156">
        <f>IF(Work_D_Only_Bool,NETWORKDAYS.INTL(BJ9,BJ9,WE_Days,Tools!$B$10:$B$55),1)</f>
        <v>1</v>
      </c>
      <c r="BK8" s="156">
        <f>IF(Work_D_Only_Bool,NETWORKDAYS.INTL(BK9,BK9,WE_Days,Tools!$B$10:$B$55),1)</f>
        <v>1</v>
      </c>
      <c r="BL8" s="156">
        <f>IF(Work_D_Only_Bool,NETWORKDAYS.INTL(BL9,BL9,WE_Days,Tools!$B$10:$B$55),1)</f>
        <v>1</v>
      </c>
      <c r="BM8" s="156">
        <f>IF(Work_D_Only_Bool,NETWORKDAYS.INTL(BM9,BM9,WE_Days,Tools!$B$10:$B$55),1)</f>
        <v>1</v>
      </c>
      <c r="BN8" s="156">
        <f>IF(Work_D_Only_Bool,NETWORKDAYS.INTL(BN9,BN9,WE_Days,Tools!$B$10:$B$55),1)</f>
        <v>1</v>
      </c>
      <c r="BO8" s="156">
        <f>IF(Work_D_Only_Bool,NETWORKDAYS.INTL(BO9,BO9,WE_Days,Tools!$B$10:$B$55),1)</f>
        <v>1</v>
      </c>
      <c r="BP8" s="156">
        <f>IF(Work_D_Only_Bool,NETWORKDAYS.INTL(BP9,BP9,WE_Days,Tools!$B$10:$B$55),1)</f>
        <v>1</v>
      </c>
      <c r="BQ8" s="156">
        <f>IF(Work_D_Only_Bool,NETWORKDAYS.INTL(BQ9,BQ9,WE_Days,Tools!$B$10:$B$55),1)</f>
        <v>1</v>
      </c>
      <c r="BR8" s="156">
        <f>IF(Work_D_Only_Bool,NETWORKDAYS.INTL(BR9,BR9,WE_Days,Tools!$B$10:$B$55),1)</f>
        <v>1</v>
      </c>
      <c r="BS8" s="156">
        <f>IF(Work_D_Only_Bool,NETWORKDAYS.INTL(BS9,BS9,WE_Days,Tools!$B$10:$B$55),1)</f>
        <v>1</v>
      </c>
      <c r="BT8" s="156">
        <f>IF(Work_D_Only_Bool,NETWORKDAYS.INTL(BT9,BT9,WE_Days,Tools!$B$10:$B$55),1)</f>
        <v>1</v>
      </c>
      <c r="BU8" s="156">
        <f>IF(Work_D_Only_Bool,NETWORKDAYS.INTL(BU9,BU9,WE_Days,Tools!$B$10:$B$55),1)</f>
        <v>1</v>
      </c>
      <c r="BV8" s="156">
        <f>IF(Work_D_Only_Bool,NETWORKDAYS.INTL(BV9,BV9,WE_Days,Tools!$B$10:$B$55),1)</f>
        <v>1</v>
      </c>
      <c r="BW8" s="156">
        <f>IF(Work_D_Only_Bool,NETWORKDAYS.INTL(BW9,BW9,WE_Days,Tools!$B$10:$B$55),1)</f>
        <v>1</v>
      </c>
      <c r="BX8" s="156">
        <f>IF(Work_D_Only_Bool,NETWORKDAYS.INTL(BX9,BX9,WE_Days,Tools!$B$10:$B$55),1)</f>
        <v>1</v>
      </c>
      <c r="BY8" s="156">
        <f>IF(Work_D_Only_Bool,NETWORKDAYS.INTL(BY9,BY9,WE_Days,Tools!$B$10:$B$55),1)</f>
        <v>1</v>
      </c>
      <c r="BZ8" s="156">
        <f>IF(Work_D_Only_Bool,NETWORKDAYS.INTL(BZ9,BZ9,WE_Days,Tools!$B$10:$B$55),1)</f>
        <v>1</v>
      </c>
      <c r="CA8" s="156">
        <f>IF(Work_D_Only_Bool,NETWORKDAYS.INTL(CA9,CA9,WE_Days,Tools!$B$10:$B$55),1)</f>
        <v>1</v>
      </c>
      <c r="CB8" s="156">
        <f>IF(Work_D_Only_Bool,NETWORKDAYS.INTL(CB9,CB9,WE_Days,Tools!$B$10:$B$55),1)</f>
        <v>1</v>
      </c>
      <c r="CC8" s="156">
        <f>IF(Work_D_Only_Bool,NETWORKDAYS.INTL(CC9,CC9,WE_Days,Tools!$B$10:$B$55),1)</f>
        <v>1</v>
      </c>
      <c r="CD8" s="156">
        <f>IF(Work_D_Only_Bool,NETWORKDAYS.INTL(CD9,CD9,WE_Days,Tools!$B$10:$B$55),1)</f>
        <v>1</v>
      </c>
      <c r="CE8" s="156">
        <f>IF(Work_D_Only_Bool,NETWORKDAYS.INTL(CE9,CE9,WE_Days,Tools!$B$10:$B$55),1)</f>
        <v>1</v>
      </c>
      <c r="CF8" s="156">
        <f>IF(Work_D_Only_Bool,NETWORKDAYS.INTL(CF9,CF9,WE_Days,Tools!$B$10:$B$55),1)</f>
        <v>1</v>
      </c>
      <c r="CG8" s="156">
        <f>IF(Work_D_Only_Bool,NETWORKDAYS.INTL(CG9,CG9,WE_Days,Tools!$B$10:$B$55),1)</f>
        <v>1</v>
      </c>
      <c r="CH8" s="156">
        <f>IF(Work_D_Only_Bool,NETWORKDAYS.INTL(CH9,CH9,WE_Days,Tools!$B$10:$B$55),1)</f>
        <v>1</v>
      </c>
      <c r="CI8" s="156">
        <f>IF(Work_D_Only_Bool,NETWORKDAYS.INTL(CI9,CI9,WE_Days,Tools!$B$10:$B$55),1)</f>
        <v>1</v>
      </c>
      <c r="CJ8" s="156">
        <f>IF(Work_D_Only_Bool,NETWORKDAYS.INTL(CJ9,CJ9,WE_Days,Tools!$B$10:$B$55),1)</f>
        <v>1</v>
      </c>
      <c r="CK8" s="156">
        <f>IF(Work_D_Only_Bool,NETWORKDAYS.INTL(CK9,CK9,WE_Days,Tools!$B$10:$B$55),1)</f>
        <v>1</v>
      </c>
      <c r="CL8" s="156">
        <f>IF(Work_D_Only_Bool,NETWORKDAYS.INTL(CL9,CL9,WE_Days,Tools!$B$10:$B$55),1)</f>
        <v>1</v>
      </c>
      <c r="CM8" s="156">
        <f>IF(Work_D_Only_Bool,NETWORKDAYS.INTL(CM9,CM9,WE_Days,Tools!$B$10:$B$55),1)</f>
        <v>1</v>
      </c>
      <c r="CN8" s="156">
        <f>IF(Work_D_Only_Bool,NETWORKDAYS.INTL(CN9,CN9,WE_Days,Tools!$B$10:$B$55),1)</f>
        <v>1</v>
      </c>
      <c r="CO8" s="156">
        <f>IF(Work_D_Only_Bool,NETWORKDAYS.INTL(CO9,CO9,WE_Days,Tools!$B$10:$B$55),1)</f>
        <v>1</v>
      </c>
      <c r="CP8" s="156">
        <f>IF(Work_D_Only_Bool,NETWORKDAYS.INTL(CP9,CP9,WE_Days,Tools!$B$10:$B$55),1)</f>
        <v>1</v>
      </c>
      <c r="CQ8" s="156">
        <f>IF(Work_D_Only_Bool,NETWORKDAYS.INTL(CQ9,CQ9,WE_Days,Tools!$B$10:$B$55),1)</f>
        <v>1</v>
      </c>
      <c r="CR8" s="156">
        <f>IF(Work_D_Only_Bool,NETWORKDAYS.INTL(CR9,CR9,WE_Days,Tools!$B$10:$B$55),1)</f>
        <v>1</v>
      </c>
      <c r="CS8" s="156">
        <f>IF(Work_D_Only_Bool,NETWORKDAYS.INTL(CS9,CS9,WE_Days,Tools!$B$10:$B$55),1)</f>
        <v>1</v>
      </c>
      <c r="CT8" s="156">
        <f>IF(Work_D_Only_Bool,NETWORKDAYS.INTL(CT9,CT9,WE_Days,Tools!$B$10:$B$55),1)</f>
        <v>1</v>
      </c>
      <c r="CU8" s="156">
        <f>IF(Work_D_Only_Bool,NETWORKDAYS.INTL(CU9,CU9,WE_Days,Tools!$B$10:$B$55),1)</f>
        <v>1</v>
      </c>
      <c r="CV8" s="156">
        <f>IF(Work_D_Only_Bool,NETWORKDAYS.INTL(CV9,CV9,WE_Days,Tools!$B$10:$B$55),1)</f>
        <v>1</v>
      </c>
      <c r="CW8" s="156">
        <f>IF(Work_D_Only_Bool,NETWORKDAYS.INTL(CW9,CW9,WE_Days,Tools!$B$10:$B$55),1)</f>
        <v>1</v>
      </c>
      <c r="CX8" s="156">
        <f>IF(Work_D_Only_Bool,NETWORKDAYS.INTL(CX9,CX9,WE_Days,Tools!$B$10:$B$55),1)</f>
        <v>1</v>
      </c>
      <c r="CY8" s="156">
        <f>IF(Work_D_Only_Bool,NETWORKDAYS.INTL(CY9,CY9,WE_Days,Tools!$B$10:$B$55),1)</f>
        <v>1</v>
      </c>
      <c r="CZ8" s="156">
        <f>IF(Work_D_Only_Bool,NETWORKDAYS.INTL(CZ9,CZ9,WE_Days,Tools!$B$10:$B$55),1)</f>
        <v>1</v>
      </c>
      <c r="DA8" s="156">
        <f>IF(Work_D_Only_Bool,NETWORKDAYS.INTL(DA9,DA9,WE_Days,Tools!$B$10:$B$55),1)</f>
        <v>1</v>
      </c>
      <c r="DB8" s="156">
        <f>IF(Work_D_Only_Bool,NETWORKDAYS.INTL(DB9,DB9,WE_Days,Tools!$B$10:$B$55),1)</f>
        <v>1</v>
      </c>
      <c r="DC8" s="156">
        <f>IF(Work_D_Only_Bool,NETWORKDAYS.INTL(DC9,DC9,WE_Days,Tools!$B$10:$B$55),1)</f>
        <v>1</v>
      </c>
      <c r="DD8" s="156">
        <f>IF(Work_D_Only_Bool,NETWORKDAYS.INTL(DD9,DD9,WE_Days,Tools!$B$10:$B$55),1)</f>
        <v>1</v>
      </c>
      <c r="DE8" s="156">
        <f>IF(Work_D_Only_Bool,NETWORKDAYS.INTL(DE9,DE9,WE_Days,Tools!$B$10:$B$55),1)</f>
        <v>1</v>
      </c>
      <c r="DF8" s="156">
        <f>IF(Work_D_Only_Bool,NETWORKDAYS.INTL(DF9,DF9,WE_Days,Tools!$B$10:$B$55),1)</f>
        <v>1</v>
      </c>
      <c r="DG8" s="156">
        <f>IF(Work_D_Only_Bool,NETWORKDAYS.INTL(DG9,DG9,WE_Days,Tools!$B$10:$B$55),1)</f>
        <v>1</v>
      </c>
      <c r="DH8" s="156">
        <f>IF(Work_D_Only_Bool,NETWORKDAYS.INTL(DH9,DH9,WE_Days,Tools!$B$10:$B$55),1)</f>
        <v>1</v>
      </c>
      <c r="DI8" s="156">
        <f>IF(Work_D_Only_Bool,NETWORKDAYS.INTL(DI9,DI9,WE_Days,Tools!$B$10:$B$55),1)</f>
        <v>1</v>
      </c>
      <c r="DJ8" s="156">
        <f>IF(Work_D_Only_Bool,NETWORKDAYS.INTL(DJ9,DJ9,WE_Days,Tools!$B$10:$B$55),1)</f>
        <v>1</v>
      </c>
      <c r="DK8" s="156">
        <f>IF(Work_D_Only_Bool,NETWORKDAYS.INTL(DK9,DK9,WE_Days,Tools!$B$10:$B$55),1)</f>
        <v>1</v>
      </c>
      <c r="DL8" s="156">
        <f>IF(Work_D_Only_Bool,NETWORKDAYS.INTL(DL9,DL9,WE_Days,Tools!$B$10:$B$55),1)</f>
        <v>1</v>
      </c>
      <c r="DM8" s="156">
        <f>IF(Work_D_Only_Bool,NETWORKDAYS.INTL(DM9,DM9,WE_Days,Tools!$B$10:$B$55),1)</f>
        <v>1</v>
      </c>
      <c r="DN8" s="156">
        <f>IF(Work_D_Only_Bool,NETWORKDAYS.INTL(DN9,DN9,WE_Days,Tools!$B$10:$B$55),1)</f>
        <v>1</v>
      </c>
      <c r="DO8" s="156">
        <f>IF(Work_D_Only_Bool,NETWORKDAYS.INTL(DO9,DO9,WE_Days,Tools!$B$10:$B$55),1)</f>
        <v>1</v>
      </c>
      <c r="DP8" s="156">
        <f>IF(Work_D_Only_Bool,NETWORKDAYS.INTL(DP9,DP9,WE_Days,Tools!$B$10:$B$55),1)</f>
        <v>1</v>
      </c>
      <c r="DQ8" s="156">
        <f>IF(Work_D_Only_Bool,NETWORKDAYS.INTL(DQ9,DQ9,WE_Days,Tools!$B$10:$B$55),1)</f>
        <v>1</v>
      </c>
      <c r="DR8" s="156">
        <f>IF(Work_D_Only_Bool,NETWORKDAYS.INTL(DR9,DR9,WE_Days,Tools!$B$10:$B$55),1)</f>
        <v>1</v>
      </c>
      <c r="DS8" s="156">
        <f>IF(Work_D_Only_Bool,NETWORKDAYS.INTL(DS9,DS9,WE_Days,Tools!$B$10:$B$55),1)</f>
        <v>1</v>
      </c>
      <c r="DT8" s="156">
        <f>IF(Work_D_Only_Bool,NETWORKDAYS.INTL(DT9,DT9,WE_Days,Tools!$B$10:$B$55),1)</f>
        <v>1</v>
      </c>
      <c r="DU8" s="156">
        <f>IF(Work_D_Only_Bool,NETWORKDAYS.INTL(DU9,DU9,WE_Days,Tools!$B$10:$B$55),1)</f>
        <v>1</v>
      </c>
      <c r="DV8" s="156">
        <f>IF(Work_D_Only_Bool,NETWORKDAYS.INTL(DV9,DV9,WE_Days,Tools!$B$10:$B$55),1)</f>
        <v>1</v>
      </c>
      <c r="DW8" s="156">
        <f>IF(Work_D_Only_Bool,NETWORKDAYS.INTL(DW9,DW9,WE_Days,Tools!$B$10:$B$55),1)</f>
        <v>1</v>
      </c>
      <c r="DX8" s="156">
        <f>IF(Work_D_Only_Bool,NETWORKDAYS.INTL(DX9,DX9,WE_Days,Tools!$B$10:$B$55),1)</f>
        <v>1</v>
      </c>
      <c r="DY8" s="156">
        <f>IF(Work_D_Only_Bool,NETWORKDAYS.INTL(DY9,DY9,WE_Days,Tools!$B$10:$B$55),1)</f>
        <v>1</v>
      </c>
      <c r="DZ8" s="156">
        <f>IF(Work_D_Only_Bool,NETWORKDAYS.INTL(DZ9,DZ9,WE_Days,Tools!$B$10:$B$55),1)</f>
        <v>1</v>
      </c>
      <c r="EA8" s="156">
        <f>IF(Work_D_Only_Bool,NETWORKDAYS.INTL(EA9,EA9,WE_Days,Tools!$B$10:$B$55),1)</f>
        <v>1</v>
      </c>
      <c r="EB8" s="156">
        <f>IF(Work_D_Only_Bool,NETWORKDAYS.INTL(EB9,EB9,WE_Days,Tools!$B$10:$B$55),1)</f>
        <v>1</v>
      </c>
      <c r="EC8" s="156">
        <f>IF(Work_D_Only_Bool,NETWORKDAYS.INTL(EC9,EC9,WE_Days,Tools!$B$10:$B$55),1)</f>
        <v>1</v>
      </c>
      <c r="ED8" s="156">
        <f>IF(Work_D_Only_Bool,NETWORKDAYS.INTL(ED9,ED9,WE_Days,Tools!$B$10:$B$55),1)</f>
        <v>1</v>
      </c>
      <c r="EE8" s="156">
        <f>IF(Work_D_Only_Bool,NETWORKDAYS.INTL(EE9,EE9,WE_Days,Tools!$B$10:$B$55),1)</f>
        <v>1</v>
      </c>
      <c r="EF8" s="156">
        <f>IF(Work_D_Only_Bool,NETWORKDAYS.INTL(EF9,EF9,WE_Days,Tools!$B$10:$B$55),1)</f>
        <v>1</v>
      </c>
      <c r="EG8" s="156">
        <f>IF(Work_D_Only_Bool,NETWORKDAYS.INTL(EG9,EG9,WE_Days,Tools!$B$10:$B$55),1)</f>
        <v>1</v>
      </c>
      <c r="EH8" s="156">
        <f>IF(Work_D_Only_Bool,NETWORKDAYS.INTL(EH9,EH9,WE_Days,Tools!$B$10:$B$55),1)</f>
        <v>1</v>
      </c>
      <c r="EI8" s="156">
        <f>IF(Work_D_Only_Bool,NETWORKDAYS.INTL(EI9,EI9,WE_Days,Tools!$B$10:$B$55),1)</f>
        <v>1</v>
      </c>
      <c r="EJ8" s="156">
        <f>IF(Work_D_Only_Bool,NETWORKDAYS.INTL(EJ9,EJ9,WE_Days,Tools!$B$10:$B$55),1)</f>
        <v>1</v>
      </c>
      <c r="EK8" s="156">
        <f>IF(Work_D_Only_Bool,NETWORKDAYS.INTL(EK9,EK9,WE_Days,Tools!$B$10:$B$55),1)</f>
        <v>1</v>
      </c>
      <c r="EL8" s="156">
        <f>IF(Work_D_Only_Bool,NETWORKDAYS.INTL(EL9,EL9,WE_Days,Tools!$B$10:$B$55),1)</f>
        <v>1</v>
      </c>
      <c r="EM8" s="156">
        <f>IF(Work_D_Only_Bool,NETWORKDAYS.INTL(EM9,EM9,WE_Days,Tools!$B$10:$B$55),1)</f>
        <v>1</v>
      </c>
      <c r="EN8" s="156">
        <f>IF(Work_D_Only_Bool,NETWORKDAYS.INTL(EN9,EN9,WE_Days,Tools!$B$10:$B$55),1)</f>
        <v>1</v>
      </c>
      <c r="EO8" s="156">
        <f>IF(Work_D_Only_Bool,NETWORKDAYS.INTL(EO9,EO9,WE_Days,Tools!$B$10:$B$55),1)</f>
        <v>1</v>
      </c>
      <c r="EP8" s="156">
        <f>IF(Work_D_Only_Bool,NETWORKDAYS.INTL(EP9,EP9,WE_Days,Tools!$B$10:$B$55),1)</f>
        <v>1</v>
      </c>
      <c r="EQ8" s="156">
        <f>IF(Work_D_Only_Bool,NETWORKDAYS.INTL(EQ9,EQ9,WE_Days,Tools!$B$10:$B$55),1)</f>
        <v>1</v>
      </c>
      <c r="ER8" s="156">
        <f>IF(Work_D_Only_Bool,NETWORKDAYS.INTL(ER9,ER9,WE_Days,Tools!$B$10:$B$55),1)</f>
        <v>1</v>
      </c>
      <c r="ES8" s="156">
        <f>IF(Work_D_Only_Bool,NETWORKDAYS.INTL(ES9,ES9,WE_Days,Tools!$B$10:$B$55),1)</f>
        <v>1</v>
      </c>
      <c r="ET8" s="156">
        <f>IF(Work_D_Only_Bool,NETWORKDAYS.INTL(ET9,ET9,WE_Days,Tools!$B$10:$B$55),1)</f>
        <v>1</v>
      </c>
      <c r="EU8" s="156">
        <f>IF(Work_D_Only_Bool,NETWORKDAYS.INTL(EU9,EU9,WE_Days,Tools!$B$10:$B$55),1)</f>
        <v>1</v>
      </c>
      <c r="EV8" s="156">
        <f>IF(Work_D_Only_Bool,NETWORKDAYS.INTL(EV9,EV9,WE_Days,Tools!$B$10:$B$55),1)</f>
        <v>1</v>
      </c>
      <c r="EW8" s="156">
        <f>IF(Work_D_Only_Bool,NETWORKDAYS.INTL(EW9,EW9,WE_Days,Tools!$B$10:$B$55),1)</f>
        <v>1</v>
      </c>
      <c r="EX8" s="156">
        <f>IF(Work_D_Only_Bool,NETWORKDAYS.INTL(EX9,EX9,WE_Days,Tools!$B$10:$B$55),1)</f>
        <v>1</v>
      </c>
      <c r="EY8" s="156">
        <f>IF(Work_D_Only_Bool,NETWORKDAYS.INTL(EY9,EY9,WE_Days,Tools!$B$10:$B$55),1)</f>
        <v>1</v>
      </c>
      <c r="EZ8" s="156">
        <f>IF(Work_D_Only_Bool,NETWORKDAYS.INTL(EZ9,EZ9,WE_Days,Tools!$B$10:$B$55),1)</f>
        <v>1</v>
      </c>
      <c r="FA8" s="156">
        <f>IF(Work_D_Only_Bool,NETWORKDAYS.INTL(FA9,FA9,WE_Days,Tools!$B$10:$B$55),1)</f>
        <v>1</v>
      </c>
      <c r="FB8" s="156">
        <f>IF(Work_D_Only_Bool,NETWORKDAYS.INTL(FB9,FB9,WE_Days,Tools!$B$10:$B$55),1)</f>
        <v>1</v>
      </c>
      <c r="FC8" s="156">
        <f>IF(Work_D_Only_Bool,NETWORKDAYS.INTL(FC9,FC9,WE_Days,Tools!$B$10:$B$55),1)</f>
        <v>1</v>
      </c>
      <c r="FD8" s="156">
        <f>IF(Work_D_Only_Bool,NETWORKDAYS.INTL(FD9,FD9,WE_Days,Tools!$B$10:$B$55),1)</f>
        <v>1</v>
      </c>
      <c r="FE8" s="156">
        <f>IF(Work_D_Only_Bool,NETWORKDAYS.INTL(FE9,FE9,WE_Days,Tools!$B$10:$B$55),1)</f>
        <v>1</v>
      </c>
      <c r="FF8" s="156">
        <f>IF(Work_D_Only_Bool,NETWORKDAYS.INTL(FF9,FF9,WE_Days,Tools!$B$10:$B$55),1)</f>
        <v>1</v>
      </c>
      <c r="FG8" s="156">
        <f>IF(Work_D_Only_Bool,NETWORKDAYS.INTL(FG9,FG9,WE_Days,Tools!$B$10:$B$55),1)</f>
        <v>1</v>
      </c>
      <c r="FH8" s="156">
        <f>IF(Work_D_Only_Bool,NETWORKDAYS.INTL(FH9,FH9,WE_Days,Tools!$B$10:$B$55),1)</f>
        <v>1</v>
      </c>
      <c r="FI8" s="156">
        <f>IF(Work_D_Only_Bool,NETWORKDAYS.INTL(FI9,FI9,WE_Days,Tools!$B$10:$B$55),1)</f>
        <v>1</v>
      </c>
      <c r="FJ8" s="156">
        <f>IF(Work_D_Only_Bool,NETWORKDAYS.INTL(FJ9,FJ9,WE_Days,Tools!$B$10:$B$55),1)</f>
        <v>1</v>
      </c>
      <c r="FK8" s="156">
        <f>IF(Work_D_Only_Bool,NETWORKDAYS.INTL(FK9,FK9,WE_Days,Tools!$B$10:$B$55),1)</f>
        <v>1</v>
      </c>
      <c r="FL8" s="156">
        <f>IF(Work_D_Only_Bool,NETWORKDAYS.INTL(FL9,FL9,WE_Days,Tools!$B$10:$B$55),1)</f>
        <v>1</v>
      </c>
      <c r="FM8" s="156">
        <f>IF(Work_D_Only_Bool,NETWORKDAYS.INTL(FM9,FM9,WE_Days,Tools!$B$10:$B$55),1)</f>
        <v>1</v>
      </c>
      <c r="FN8" s="156">
        <f>IF(Work_D_Only_Bool,NETWORKDAYS.INTL(FN9,FN9,WE_Days,Tools!$B$10:$B$55),1)</f>
        <v>1</v>
      </c>
      <c r="FO8" s="156">
        <f>IF(Work_D_Only_Bool,NETWORKDAYS.INTL(FO9,FO9,WE_Days,Tools!$B$10:$B$55),1)</f>
        <v>1</v>
      </c>
      <c r="FP8" s="156">
        <f>IF(Work_D_Only_Bool,NETWORKDAYS.INTL(FP9,FP9,WE_Days,Tools!$B$10:$B$55),1)</f>
        <v>1</v>
      </c>
      <c r="FQ8" s="156">
        <f>IF(Work_D_Only_Bool,NETWORKDAYS.INTL(FQ9,FQ9,WE_Days,Tools!$B$10:$B$55),1)</f>
        <v>1</v>
      </c>
      <c r="FR8" s="156">
        <f>IF(Work_D_Only_Bool,NETWORKDAYS.INTL(FR9,FR9,WE_Days,Tools!$B$10:$B$55),1)</f>
        <v>1</v>
      </c>
      <c r="FS8" s="156">
        <f>IF(Work_D_Only_Bool,NETWORKDAYS.INTL(FS9,FS9,WE_Days,Tools!$B$10:$B$55),1)</f>
        <v>1</v>
      </c>
      <c r="FT8" s="156">
        <f>IF(Work_D_Only_Bool,NETWORKDAYS.INTL(FT9,FT9,WE_Days,Tools!$B$10:$B$55),1)</f>
        <v>1</v>
      </c>
      <c r="FU8" s="156">
        <f>IF(Work_D_Only_Bool,NETWORKDAYS.INTL(FU9,FU9,WE_Days,Tools!$B$10:$B$55),1)</f>
        <v>1</v>
      </c>
      <c r="FV8" s="156">
        <f>IF(Work_D_Only_Bool,NETWORKDAYS.INTL(FV9,FV9,WE_Days,Tools!$B$10:$B$55),1)</f>
        <v>1</v>
      </c>
      <c r="FW8" s="156">
        <f>IF(Work_D_Only_Bool,NETWORKDAYS.INTL(FW9,FW9,WE_Days,Tools!$B$10:$B$55),1)</f>
        <v>1</v>
      </c>
      <c r="FX8" s="156">
        <f>IF(Work_D_Only_Bool,NETWORKDAYS.INTL(FX9,FX9,WE_Days,Tools!$B$10:$B$55),1)</f>
        <v>1</v>
      </c>
      <c r="FY8" s="156">
        <f>IF(Work_D_Only_Bool,NETWORKDAYS.INTL(FY9,FY9,WE_Days,Tools!$B$10:$B$55),1)</f>
        <v>1</v>
      </c>
      <c r="FZ8" s="156">
        <f>IF(Work_D_Only_Bool,NETWORKDAYS.INTL(FZ9,FZ9,WE_Days,Tools!$B$10:$B$55),1)</f>
        <v>1</v>
      </c>
      <c r="GA8" s="156">
        <f>IF(Work_D_Only_Bool,NETWORKDAYS.INTL(GA9,GA9,WE_Days,Tools!$B$10:$B$55),1)</f>
        <v>1</v>
      </c>
      <c r="GB8" s="156">
        <f>IF(Work_D_Only_Bool,NETWORKDAYS.INTL(GB9,GB9,WE_Days,Tools!$B$10:$B$55),1)</f>
        <v>1</v>
      </c>
      <c r="GC8" s="156">
        <f>IF(Work_D_Only_Bool,NETWORKDAYS.INTL(GC9,GC9,WE_Days,Tools!$B$10:$B$55),1)</f>
        <v>1</v>
      </c>
      <c r="GD8" s="156">
        <f>IF(Work_D_Only_Bool,NETWORKDAYS.INTL(GD9,GD9,WE_Days,Tools!$B$10:$B$55),1)</f>
        <v>1</v>
      </c>
      <c r="GE8" s="156">
        <f>IF(Work_D_Only_Bool,NETWORKDAYS.INTL(GE9,GE9,WE_Days,Tools!$B$10:$B$55),1)</f>
        <v>1</v>
      </c>
      <c r="GF8" s="156">
        <f>IF(Work_D_Only_Bool,NETWORKDAYS.INTL(GF9,GF9,WE_Days,Tools!$B$10:$B$55),1)</f>
        <v>1</v>
      </c>
      <c r="GG8" s="156">
        <f>IF(Work_D_Only_Bool,NETWORKDAYS.INTL(GG9,GG9,WE_Days,Tools!$B$10:$B$55),1)</f>
        <v>1</v>
      </c>
      <c r="GH8" s="156">
        <f>IF(Work_D_Only_Bool,NETWORKDAYS.INTL(GH9,GH9,WE_Days,Tools!$B$10:$B$55),1)</f>
        <v>1</v>
      </c>
      <c r="GI8" s="156">
        <f>IF(Work_D_Only_Bool,NETWORKDAYS.INTL(GI9,GI9,WE_Days,Tools!$B$10:$B$55),1)</f>
        <v>1</v>
      </c>
      <c r="GJ8" s="156">
        <f>IF(Work_D_Only_Bool,NETWORKDAYS.INTL(GJ9,GJ9,WE_Days,Tools!$B$10:$B$55),1)</f>
        <v>1</v>
      </c>
      <c r="GK8" s="156">
        <f>IF(Work_D_Only_Bool,NETWORKDAYS.INTL(GK9,GK9,WE_Days,Tools!$B$10:$B$55),1)</f>
        <v>1</v>
      </c>
      <c r="GL8" s="156">
        <f>IF(Work_D_Only_Bool,NETWORKDAYS.INTL(GL9,GL9,WE_Days,Tools!$B$10:$B$55),1)</f>
        <v>1</v>
      </c>
      <c r="GM8" s="156">
        <f>IF(Work_D_Only_Bool,NETWORKDAYS.INTL(GM9,GM9,WE_Days,Tools!$B$10:$B$55),1)</f>
        <v>1</v>
      </c>
      <c r="GN8" s="156">
        <f>IF(Work_D_Only_Bool,NETWORKDAYS.INTL(GN9,GN9,WE_Days,Tools!$B$10:$B$55),1)</f>
        <v>1</v>
      </c>
      <c r="GO8" s="156">
        <f>IF(Work_D_Only_Bool,NETWORKDAYS.INTL(GO9,GO9,WE_Days,Tools!$B$10:$B$55),1)</f>
        <v>1</v>
      </c>
      <c r="GP8" s="156">
        <f>IF(Work_D_Only_Bool,NETWORKDAYS.INTL(GP9,GP9,WE_Days,Tools!$B$10:$B$55),1)</f>
        <v>1</v>
      </c>
      <c r="GQ8" s="156">
        <f>IF(Work_D_Only_Bool,NETWORKDAYS.INTL(GQ9,GQ9,WE_Days,Tools!$B$10:$B$55),1)</f>
        <v>1</v>
      </c>
      <c r="GR8" s="156">
        <f>IF(Work_D_Only_Bool,NETWORKDAYS.INTL(GR9,GR9,WE_Days,Tools!$B$10:$B$55),1)</f>
        <v>1</v>
      </c>
      <c r="GS8" s="156">
        <f>IF(Work_D_Only_Bool,NETWORKDAYS.INTL(GS9,GS9,WE_Days,Tools!$B$10:$B$55),1)</f>
        <v>1</v>
      </c>
      <c r="GT8" s="156">
        <f>IF(Work_D_Only_Bool,NETWORKDAYS.INTL(GT9,GT9,WE_Days,Tools!$B$10:$B$55),1)</f>
        <v>1</v>
      </c>
      <c r="GU8" s="156">
        <f>IF(Work_D_Only_Bool,NETWORKDAYS.INTL(GU9,GU9,WE_Days,Tools!$B$10:$B$55),1)</f>
        <v>1</v>
      </c>
      <c r="GV8" s="156">
        <f>IF(Work_D_Only_Bool,NETWORKDAYS.INTL(GV9,GV9,WE_Days,Tools!$B$10:$B$55),1)</f>
        <v>1</v>
      </c>
      <c r="GW8" s="156">
        <f>IF(Work_D_Only_Bool,NETWORKDAYS.INTL(GW9,GW9,WE_Days,Tools!$B$10:$B$55),1)</f>
        <v>1</v>
      </c>
      <c r="GX8" s="156">
        <f>IF(Work_D_Only_Bool,NETWORKDAYS.INTL(GX9,GX9,WE_Days,Tools!$B$10:$B$55),1)</f>
        <v>1</v>
      </c>
      <c r="GY8" s="156">
        <f>IF(Work_D_Only_Bool,NETWORKDAYS.INTL(GY9,GY9,WE_Days,Tools!$B$10:$B$55),1)</f>
        <v>1</v>
      </c>
      <c r="GZ8" s="156">
        <f>IF(Work_D_Only_Bool,NETWORKDAYS.INTL(GZ9,GZ9,WE_Days,Tools!$B$10:$B$55),1)</f>
        <v>1</v>
      </c>
      <c r="HA8" s="156">
        <f>IF(Work_D_Only_Bool,NETWORKDAYS.INTL(HA9,HA9,WE_Days,Tools!$B$10:$B$55),1)</f>
        <v>1</v>
      </c>
      <c r="HB8" s="156">
        <f>IF(Work_D_Only_Bool,NETWORKDAYS.INTL(HB9,HB9,WE_Days,Tools!$B$10:$B$55),1)</f>
        <v>1</v>
      </c>
      <c r="HC8" s="156">
        <f>IF(Work_D_Only_Bool,NETWORKDAYS.INTL(HC9,HC9,WE_Days,Tools!$B$10:$B$55),1)</f>
        <v>1</v>
      </c>
      <c r="HD8" s="156">
        <f>IF(Work_D_Only_Bool,NETWORKDAYS.INTL(HD9,HD9,WE_Days,Tools!$B$10:$B$55),1)</f>
        <v>1</v>
      </c>
      <c r="HE8" s="156">
        <f>IF(Work_D_Only_Bool,NETWORKDAYS.INTL(HE9,HE9,WE_Days,Tools!$B$10:$B$55),1)</f>
        <v>1</v>
      </c>
      <c r="HF8" s="156">
        <f>IF(Work_D_Only_Bool,NETWORKDAYS.INTL(HF9,HF9,WE_Days,Tools!$B$10:$B$55),1)</f>
        <v>1</v>
      </c>
      <c r="HG8" s="156">
        <f>IF(Work_D_Only_Bool,NETWORKDAYS.INTL(HG9,HG9,WE_Days,Tools!$B$10:$B$55),1)</f>
        <v>1</v>
      </c>
      <c r="HH8" s="156">
        <f>IF(Work_D_Only_Bool,NETWORKDAYS.INTL(HH9,HH9,WE_Days,Tools!$B$10:$B$55),1)</f>
        <v>1</v>
      </c>
      <c r="HI8" s="156">
        <f>IF(Work_D_Only_Bool,NETWORKDAYS.INTL(HI9,HI9,WE_Days,Tools!$B$10:$B$55),1)</f>
        <v>1</v>
      </c>
      <c r="HJ8" s="156">
        <f>IF(Work_D_Only_Bool,NETWORKDAYS.INTL(HJ9,HJ9,WE_Days,Tools!$B$10:$B$55),1)</f>
        <v>1</v>
      </c>
      <c r="HK8" s="156">
        <f>IF(Work_D_Only_Bool,NETWORKDAYS.INTL(HK9,HK9,WE_Days,Tools!$B$10:$B$55),1)</f>
        <v>1</v>
      </c>
      <c r="HL8" s="156">
        <f>IF(Work_D_Only_Bool,NETWORKDAYS.INTL(HL9,HL9,WE_Days,Tools!$B$10:$B$55),1)</f>
        <v>1</v>
      </c>
      <c r="HM8" s="156">
        <f>IF(Work_D_Only_Bool,NETWORKDAYS.INTL(HM9,HM9,WE_Days,Tools!$B$10:$B$55),1)</f>
        <v>1</v>
      </c>
      <c r="HN8" s="156">
        <f>IF(Work_D_Only_Bool,NETWORKDAYS.INTL(HN9,HN9,WE_Days,Tools!$B$10:$B$55),1)</f>
        <v>1</v>
      </c>
      <c r="HO8" s="156">
        <f>IF(Work_D_Only_Bool,NETWORKDAYS.INTL(HO9,HO9,WE_Days,Tools!$B$10:$B$55),1)</f>
        <v>1</v>
      </c>
      <c r="HP8" s="156">
        <f>IF(Work_D_Only_Bool,NETWORKDAYS.INTL(HP9,HP9,WE_Days,Tools!$B$10:$B$55),1)</f>
        <v>1</v>
      </c>
      <c r="HQ8" s="156">
        <f>IF(Work_D_Only_Bool,NETWORKDAYS.INTL(HQ9,HQ9,WE_Days,Tools!$B$10:$B$55),1)</f>
        <v>1</v>
      </c>
      <c r="HR8" s="156">
        <f>IF(Work_D_Only_Bool,NETWORKDAYS.INTL(HR9,HR9,WE_Days,Tools!$B$10:$B$55),1)</f>
        <v>1</v>
      </c>
      <c r="HS8" s="156">
        <f>IF(Work_D_Only_Bool,NETWORKDAYS.INTL(HS9,HS9,WE_Days,Tools!$B$10:$B$55),1)</f>
        <v>1</v>
      </c>
      <c r="HT8" s="156">
        <f>IF(Work_D_Only_Bool,NETWORKDAYS.INTL(HT9,HT9,WE_Days,Tools!$B$10:$B$55),1)</f>
        <v>1</v>
      </c>
      <c r="HU8" s="156">
        <f>IF(Work_D_Only_Bool,NETWORKDAYS.INTL(HU9,HU9,WE_Days,Tools!$B$10:$B$55),1)</f>
        <v>1</v>
      </c>
      <c r="HV8" s="156">
        <f>IF(Work_D_Only_Bool,NETWORKDAYS.INTL(HV9,HV9,WE_Days,Tools!$B$10:$B$55),1)</f>
        <v>1</v>
      </c>
      <c r="HW8" s="156">
        <f>IF(Work_D_Only_Bool,NETWORKDAYS.INTL(HW9,HW9,WE_Days,Tools!$B$10:$B$55),1)</f>
        <v>1</v>
      </c>
      <c r="HX8" s="156">
        <f>IF(Work_D_Only_Bool,NETWORKDAYS.INTL(HX9,HX9,WE_Days,Tools!$B$10:$B$55),1)</f>
        <v>1</v>
      </c>
      <c r="HY8" s="156">
        <f>IF(Work_D_Only_Bool,NETWORKDAYS.INTL(HY9,HY9,WE_Days,Tools!$B$10:$B$55),1)</f>
        <v>1</v>
      </c>
      <c r="HZ8" s="156">
        <f>IF(Work_D_Only_Bool,NETWORKDAYS.INTL(HZ9,HZ9,WE_Days,Tools!$B$10:$B$55),1)</f>
        <v>1</v>
      </c>
      <c r="IA8" s="156">
        <f>IF(Work_D_Only_Bool,NETWORKDAYS.INTL(IA9,IA9,WE_Days,Tools!$B$10:$B$55),1)</f>
        <v>1</v>
      </c>
      <c r="IB8" s="156">
        <f>IF(Work_D_Only_Bool,NETWORKDAYS.INTL(IB9,IB9,WE_Days,Tools!$B$10:$B$55),1)</f>
        <v>1</v>
      </c>
      <c r="IC8" s="156">
        <f>IF(Work_D_Only_Bool,NETWORKDAYS.INTL(IC9,IC9,WE_Days,Tools!$B$10:$B$55),1)</f>
        <v>1</v>
      </c>
      <c r="ID8" s="156">
        <f>IF(Work_D_Only_Bool,NETWORKDAYS.INTL(ID9,ID9,WE_Days,Tools!$B$10:$B$55),1)</f>
        <v>1</v>
      </c>
      <c r="IE8" s="156">
        <f>IF(Work_D_Only_Bool,NETWORKDAYS.INTL(IE9,IE9,WE_Days,Tools!$B$10:$B$55),1)</f>
        <v>1</v>
      </c>
      <c r="IF8" s="156">
        <f>IF(Work_D_Only_Bool,NETWORKDAYS.INTL(IF9,IF9,WE_Days,Tools!$B$10:$B$55),1)</f>
        <v>1</v>
      </c>
      <c r="IG8" s="156">
        <f>IF(Work_D_Only_Bool,NETWORKDAYS.INTL(IG9,IG9,WE_Days,Tools!$B$10:$B$55),1)</f>
        <v>1</v>
      </c>
      <c r="IH8" s="156">
        <f>IF(Work_D_Only_Bool,NETWORKDAYS.INTL(IH9,IH9,WE_Days,Tools!$B$10:$B$55),1)</f>
        <v>1</v>
      </c>
      <c r="II8" s="156">
        <f>IF(Work_D_Only_Bool,NETWORKDAYS.INTL(II9,II9,WE_Days,Tools!$B$10:$B$55),1)</f>
        <v>1</v>
      </c>
      <c r="IJ8" s="156">
        <f>IF(Work_D_Only_Bool,NETWORKDAYS.INTL(IJ9,IJ9,WE_Days,Tools!$B$10:$B$55),1)</f>
        <v>1</v>
      </c>
      <c r="IK8" s="156">
        <f>IF(Work_D_Only_Bool,NETWORKDAYS.INTL(IK9,IK9,WE_Days,Tools!$B$10:$B$55),1)</f>
        <v>1</v>
      </c>
      <c r="IL8" s="156">
        <f>IF(Work_D_Only_Bool,NETWORKDAYS.INTL(IL9,IL9,WE_Days,Tools!$B$10:$B$55),1)</f>
        <v>1</v>
      </c>
      <c r="IM8" s="156">
        <f>IF(Work_D_Only_Bool,NETWORKDAYS.INTL(IM9,IM9,WE_Days,Tools!$B$10:$B$55),1)</f>
        <v>1</v>
      </c>
      <c r="IN8" s="156">
        <f>IF(Work_D_Only_Bool,NETWORKDAYS.INTL(IN9,IN9,WE_Days,Tools!$B$10:$B$55),1)</f>
        <v>1</v>
      </c>
      <c r="IO8" s="156">
        <f>IF(Work_D_Only_Bool,NETWORKDAYS.INTL(IO9,IO9,WE_Days,Tools!$B$10:$B$55),1)</f>
        <v>1</v>
      </c>
      <c r="IP8" s="156">
        <f>IF(Work_D_Only_Bool,NETWORKDAYS.INTL(IP9,IP9,WE_Days,Tools!$B$10:$B$55),1)</f>
        <v>1</v>
      </c>
      <c r="IQ8" s="156">
        <f>IF(Work_D_Only_Bool,NETWORKDAYS.INTL(IQ9,IQ9,WE_Days,Tools!$B$10:$B$55),1)</f>
        <v>1</v>
      </c>
      <c r="IR8" s="156">
        <f>IF(Work_D_Only_Bool,NETWORKDAYS.INTL(IR9,IR9,WE_Days,Tools!$B$10:$B$55),1)</f>
        <v>1</v>
      </c>
      <c r="IS8" s="156">
        <f>IF(Work_D_Only_Bool,NETWORKDAYS.INTL(IS9,IS9,WE_Days,Tools!$B$10:$B$55),1)</f>
        <v>1</v>
      </c>
      <c r="IT8" s="156">
        <f>IF(Work_D_Only_Bool,NETWORKDAYS.INTL(IT9,IT9,WE_Days,Tools!$B$10:$B$55),1)</f>
        <v>1</v>
      </c>
      <c r="IU8" s="156">
        <f>IF(Work_D_Only_Bool,NETWORKDAYS.INTL(IU9,IU9,WE_Days,Tools!$B$10:$B$55),1)</f>
        <v>1</v>
      </c>
      <c r="IV8" s="156">
        <f>IF(Work_D_Only_Bool,NETWORKDAYS.INTL(IV9,IV9,WE_Days,Tools!$B$10:$B$55),1)</f>
        <v>1</v>
      </c>
      <c r="IW8" s="156">
        <f>IF(Work_D_Only_Bool,NETWORKDAYS.INTL(IW9,IW9,WE_Days,Tools!$B$10:$B$55),1)</f>
        <v>1</v>
      </c>
      <c r="IX8" s="156">
        <f>IF(Work_D_Only_Bool,NETWORKDAYS.INTL(IX9,IX9,WE_Days,Tools!$B$10:$B$55),1)</f>
        <v>1</v>
      </c>
      <c r="IY8" s="156">
        <f>IF(Work_D_Only_Bool,NETWORKDAYS.INTL(IY9,IY9,WE_Days,Tools!$B$10:$B$55),1)</f>
        <v>1</v>
      </c>
      <c r="IZ8" s="156">
        <f>IF(Work_D_Only_Bool,NETWORKDAYS.INTL(IZ9,IZ9,WE_Days,Tools!$B$10:$B$55),1)</f>
        <v>1</v>
      </c>
      <c r="JA8" s="156">
        <f>IF(Work_D_Only_Bool,NETWORKDAYS.INTL(JA9,JA9,WE_Days,Tools!$B$10:$B$55),1)</f>
        <v>1</v>
      </c>
      <c r="JB8" s="156">
        <f>IF(Work_D_Only_Bool,NETWORKDAYS.INTL(JB9,JB9,WE_Days,Tools!$B$10:$B$55),1)</f>
        <v>1</v>
      </c>
      <c r="JC8" s="156">
        <f>IF(Work_D_Only_Bool,NETWORKDAYS.INTL(JC9,JC9,WE_Days,Tools!$B$10:$B$55),1)</f>
        <v>1</v>
      </c>
      <c r="JD8" s="156">
        <f>IF(Work_D_Only_Bool,NETWORKDAYS.INTL(JD9,JD9,WE_Days,Tools!$B$10:$B$55),1)</f>
        <v>1</v>
      </c>
      <c r="JE8" s="156">
        <f>IF(Work_D_Only_Bool,NETWORKDAYS.INTL(JE9,JE9,WE_Days,Tools!$B$10:$B$55),1)</f>
        <v>1</v>
      </c>
      <c r="JF8" s="156">
        <f>IF(Work_D_Only_Bool,NETWORKDAYS.INTL(JF9,JF9,WE_Days,Tools!$B$10:$B$55),1)</f>
        <v>1</v>
      </c>
      <c r="JG8" s="156">
        <f>IF(Work_D_Only_Bool,NETWORKDAYS.INTL(JG9,JG9,WE_Days,Tools!$B$10:$B$55),1)</f>
        <v>1</v>
      </c>
      <c r="JH8" s="156">
        <f>IF(Work_D_Only_Bool,NETWORKDAYS.INTL(JH9,JH9,WE_Days,Tools!$B$10:$B$55),1)</f>
        <v>1</v>
      </c>
      <c r="JI8" s="156">
        <f>IF(Work_D_Only_Bool,NETWORKDAYS.INTL(JI9,JI9,WE_Days,Tools!$B$10:$B$55),1)</f>
        <v>1</v>
      </c>
      <c r="JJ8" s="156">
        <f>IF(Work_D_Only_Bool,NETWORKDAYS.INTL(JJ9,JJ9,WE_Days,Tools!$B$10:$B$55),1)</f>
        <v>1</v>
      </c>
      <c r="JK8" s="156">
        <f>IF(Work_D_Only_Bool,NETWORKDAYS.INTL(JK9,JK9,WE_Days,Tools!$B$10:$B$55),1)</f>
        <v>1</v>
      </c>
      <c r="JL8" s="156">
        <f>IF(Work_D_Only_Bool,NETWORKDAYS.INTL(JL9,JL9,WE_Days,Tools!$B$10:$B$55),1)</f>
        <v>1</v>
      </c>
      <c r="JM8" s="156">
        <f>IF(Work_D_Only_Bool,NETWORKDAYS.INTL(JM9,JM9,WE_Days,Tools!$B$10:$B$55),1)</f>
        <v>1</v>
      </c>
      <c r="JN8" s="156">
        <f>IF(Work_D_Only_Bool,NETWORKDAYS.INTL(JN9,JN9,WE_Days,Tools!$B$10:$B$55),1)</f>
        <v>1</v>
      </c>
      <c r="JO8" s="156">
        <f>IF(Work_D_Only_Bool,NETWORKDAYS.INTL(JO9,JO9,WE_Days,Tools!$B$10:$B$55),1)</f>
        <v>1</v>
      </c>
      <c r="JP8" s="156">
        <f>IF(Work_D_Only_Bool,NETWORKDAYS.INTL(JP9,JP9,WE_Days,Tools!$B$10:$B$55),1)</f>
        <v>1</v>
      </c>
      <c r="JQ8" s="156">
        <f>IF(Work_D_Only_Bool,NETWORKDAYS.INTL(JQ9,JQ9,WE_Days,Tools!$B$10:$B$55),1)</f>
        <v>1</v>
      </c>
      <c r="JR8" s="156">
        <f>IF(Work_D_Only_Bool,NETWORKDAYS.INTL(JR9,JR9,WE_Days,Tools!$B$10:$B$55),1)</f>
        <v>1</v>
      </c>
      <c r="JS8" s="156">
        <f>IF(Work_D_Only_Bool,NETWORKDAYS.INTL(JS9,JS9,WE_Days,Tools!$B$10:$B$55),1)</f>
        <v>1</v>
      </c>
      <c r="JT8" s="156">
        <f>IF(Work_D_Only_Bool,NETWORKDAYS.INTL(JT9,JT9,WE_Days,Tools!$B$10:$B$55),1)</f>
        <v>1</v>
      </c>
      <c r="JU8" s="156">
        <f>IF(Work_D_Only_Bool,NETWORKDAYS.INTL(JU9,JU9,WE_Days,Tools!$B$10:$B$55),1)</f>
        <v>1</v>
      </c>
      <c r="JV8" s="156">
        <f>IF(Work_D_Only_Bool,NETWORKDAYS.INTL(JV9,JV9,WE_Days,Tools!$B$10:$B$55),1)</f>
        <v>1</v>
      </c>
      <c r="JW8" s="156">
        <f>IF(Work_D_Only_Bool,NETWORKDAYS.INTL(JW9,JW9,WE_Days,Tools!$B$10:$B$55),1)</f>
        <v>1</v>
      </c>
      <c r="JX8" s="156">
        <f>IF(Work_D_Only_Bool,NETWORKDAYS.INTL(JX9,JX9,WE_Days,Tools!$B$10:$B$55),1)</f>
        <v>1</v>
      </c>
      <c r="JY8" s="156">
        <f>IF(Work_D_Only_Bool,NETWORKDAYS.INTL(JY9,JY9,WE_Days,Tools!$B$10:$B$55),1)</f>
        <v>1</v>
      </c>
      <c r="JZ8" s="156">
        <f>IF(Work_D_Only_Bool,NETWORKDAYS.INTL(JZ9,JZ9,WE_Days,Tools!$B$10:$B$55),1)</f>
        <v>1</v>
      </c>
      <c r="KA8" s="156">
        <f>IF(Work_D_Only_Bool,NETWORKDAYS.INTL(KA9,KA9,WE_Days,Tools!$B$10:$B$55),1)</f>
        <v>1</v>
      </c>
      <c r="KB8" s="156">
        <f>IF(Work_D_Only_Bool,NETWORKDAYS.INTL(KB9,KB9,WE_Days,Tools!$B$10:$B$55),1)</f>
        <v>1</v>
      </c>
      <c r="KC8" s="156">
        <f>IF(Work_D_Only_Bool,NETWORKDAYS.INTL(KC9,KC9,WE_Days,Tools!$B$10:$B$55),1)</f>
        <v>1</v>
      </c>
      <c r="KD8" s="156">
        <f>IF(Work_D_Only_Bool,NETWORKDAYS.INTL(KD9,KD9,WE_Days,Tools!$B$10:$B$55),1)</f>
        <v>1</v>
      </c>
      <c r="KE8" s="156">
        <f>IF(Work_D_Only_Bool,NETWORKDAYS.INTL(KE9,KE9,WE_Days,Tools!$B$10:$B$55),1)</f>
        <v>1</v>
      </c>
      <c r="KF8" s="156">
        <f>IF(Work_D_Only_Bool,NETWORKDAYS.INTL(KF9,KF9,WE_Days,Tools!$B$10:$B$55),1)</f>
        <v>1</v>
      </c>
      <c r="KG8" s="156">
        <f>IF(Work_D_Only_Bool,NETWORKDAYS.INTL(KG9,KG9,WE_Days,Tools!$B$10:$B$55),1)</f>
        <v>1</v>
      </c>
      <c r="KH8" s="156">
        <f>IF(Work_D_Only_Bool,NETWORKDAYS.INTL(KH9,KH9,WE_Days,Tools!$B$10:$B$55),1)</f>
        <v>1</v>
      </c>
      <c r="KI8" s="156">
        <f>IF(Work_D_Only_Bool,NETWORKDAYS.INTL(KI9,KI9,WE_Days,Tools!$B$10:$B$55),1)</f>
        <v>1</v>
      </c>
      <c r="KJ8" s="156">
        <f>IF(Work_D_Only_Bool,NETWORKDAYS.INTL(KJ9,KJ9,WE_Days,Tools!$B$10:$B$55),1)</f>
        <v>1</v>
      </c>
      <c r="KK8" s="156">
        <f>IF(Work_D_Only_Bool,NETWORKDAYS.INTL(KK9,KK9,WE_Days,Tools!$B$10:$B$55),1)</f>
        <v>1</v>
      </c>
      <c r="KL8" s="156">
        <f>IF(Work_D_Only_Bool,NETWORKDAYS.INTL(KL9,KL9,WE_Days,Tools!$B$10:$B$55),1)</f>
        <v>1</v>
      </c>
      <c r="KM8" s="156">
        <f>IF(Work_D_Only_Bool,NETWORKDAYS.INTL(KM9,KM9,WE_Days,Tools!$B$10:$B$55),1)</f>
        <v>1</v>
      </c>
      <c r="KN8" s="156">
        <f>IF(Work_D_Only_Bool,NETWORKDAYS.INTL(KN9,KN9,WE_Days,Tools!$B$10:$B$55),1)</f>
        <v>1</v>
      </c>
      <c r="KO8" s="156">
        <f>IF(Work_D_Only_Bool,NETWORKDAYS.INTL(KO9,KO9,WE_Days,Tools!$B$10:$B$55),1)</f>
        <v>1</v>
      </c>
      <c r="KP8" s="201">
        <f>IF(Work_D_Only_Bool,NETWORKDAYS.INTL(KP9,KP9,WE_Days,Tools!$B$10:$B$55),1)</f>
        <v>1</v>
      </c>
      <c r="KQ8" s="201">
        <f>IF(Work_D_Only_Bool,NETWORKDAYS.INTL(KQ9,KQ9,WE_Days,Tools!$B$10:$B$55),1)</f>
        <v>1</v>
      </c>
      <c r="KR8" s="201">
        <f>IF(Work_D_Only_Bool,NETWORKDAYS.INTL(KR9,KR9,WE_Days,Tools!$B$10:$B$55),1)</f>
        <v>1</v>
      </c>
      <c r="KS8" s="201">
        <f>IF(Work_D_Only_Bool,NETWORKDAYS.INTL(KS9,KS9,WE_Days,Tools!$B$10:$B$55),1)</f>
        <v>1</v>
      </c>
      <c r="KT8" s="201">
        <f>IF(Work_D_Only_Bool,NETWORKDAYS.INTL(KT9,KT9,WE_Days,Tools!$B$10:$B$55),1)</f>
        <v>1</v>
      </c>
      <c r="KU8" s="201">
        <f>IF(Work_D_Only_Bool,NETWORKDAYS.INTL(KU9,KU9,WE_Days,Tools!$B$10:$B$55),1)</f>
        <v>1</v>
      </c>
      <c r="KV8" s="156">
        <f>IF(Work_D_Only_Bool,NETWORKDAYS.INTL(KV9,KV9,WE_Days,Tools!$B$10:$B$55),1)</f>
        <v>1</v>
      </c>
      <c r="KW8" s="156">
        <f>IF(Work_D_Only_Bool,NETWORKDAYS.INTL(KW9,KW9,WE_Days,Tools!$B$10:$B$55),1)</f>
        <v>1</v>
      </c>
      <c r="KX8" s="156">
        <f>IF(Work_D_Only_Bool,NETWORKDAYS.INTL(KX9,KX9,WE_Days,Tools!$B$10:$B$55),1)</f>
        <v>1</v>
      </c>
      <c r="KY8" s="156">
        <f>IF(Work_D_Only_Bool,NETWORKDAYS.INTL(KY9,KY9,WE_Days,Tools!$B$10:$B$55),1)</f>
        <v>1</v>
      </c>
      <c r="KZ8" s="156">
        <f>IF(Work_D_Only_Bool,NETWORKDAYS.INTL(KZ9,KZ9,WE_Days,Tools!$B$10:$B$55),1)</f>
        <v>1</v>
      </c>
      <c r="LA8" s="156">
        <f>IF(Work_D_Only_Bool,NETWORKDAYS.INTL(LA9,LA9,WE_Days,Tools!$B$10:$B$55),1)</f>
        <v>1</v>
      </c>
      <c r="LB8" s="156">
        <f>IF(Work_D_Only_Bool,NETWORKDAYS.INTL(LB9,LB9,WE_Days,Tools!$B$10:$B$55),1)</f>
        <v>1</v>
      </c>
      <c r="LC8" s="156">
        <f>IF(Work_D_Only_Bool,NETWORKDAYS.INTL(LC9,LC9,WE_Days,Tools!$B$10:$B$55),1)</f>
        <v>1</v>
      </c>
      <c r="LD8" s="201">
        <f>IF(Work_D_Only_Bool,NETWORKDAYS.INTL(LD9,LD9,WE_Days,Tools!$B$10:$B$55),1)</f>
        <v>1</v>
      </c>
      <c r="LE8" s="156">
        <f>IF(Work_D_Only_Bool,NETWORKDAYS.INTL(LE9,LE9,WE_Days,Tools!$B$10:$B$55),1)</f>
        <v>1</v>
      </c>
      <c r="LF8" s="156">
        <f>IF(Work_D_Only_Bool,NETWORKDAYS.INTL(LF9,LF9,WE_Days,Tools!$B$10:$B$55),1)</f>
        <v>1</v>
      </c>
      <c r="LG8" s="156">
        <f>IF(Work_D_Only_Bool,NETWORKDAYS.INTL(LG9,LG9,WE_Days,Tools!$B$10:$B$55),1)</f>
        <v>1</v>
      </c>
      <c r="LH8" s="156">
        <f>IF(Work_D_Only_Bool,NETWORKDAYS.INTL(LH9,LH9,WE_Days,Tools!$B$10:$B$55),1)</f>
        <v>1</v>
      </c>
      <c r="LI8" s="156">
        <f>IF(Work_D_Only_Bool,NETWORKDAYS.INTL(LI9,LI9,WE_Days,Tools!$B$10:$B$55),1)</f>
        <v>1</v>
      </c>
      <c r="LJ8" s="156">
        <f>IF(Work_D_Only_Bool,NETWORKDAYS.INTL(LJ9,LJ9,WE_Days,Tools!$B$10:$B$55),1)</f>
        <v>1</v>
      </c>
      <c r="LK8" s="201">
        <f>IF(Work_D_Only_Bool,NETWORKDAYS.INTL(LK9,LK9,WE_Days,Tools!$B$10:$B$55),1)</f>
        <v>1</v>
      </c>
      <c r="LL8" s="156">
        <f>IF(Work_D_Only_Bool,NETWORKDAYS.INTL(LL9,LL9,WE_Days,Tools!$B$10:$B$55),1)</f>
        <v>1</v>
      </c>
      <c r="LM8" s="156">
        <f>IF(Work_D_Only_Bool,NETWORKDAYS.INTL(LM9,LM9,WE_Days,Tools!$B$10:$B$55),1)</f>
        <v>1</v>
      </c>
      <c r="LN8" s="156">
        <f>IF(Work_D_Only_Bool,NETWORKDAYS.INTL(LN9,LN9,WE_Days,Tools!$B$10:$B$55),1)</f>
        <v>1</v>
      </c>
      <c r="LO8" s="156">
        <f>IF(Work_D_Only_Bool,NETWORKDAYS.INTL(LO9,LO9,WE_Days,Tools!$B$10:$B$55),1)</f>
        <v>1</v>
      </c>
      <c r="LP8" s="156">
        <f>IF(Work_D_Only_Bool,NETWORKDAYS.INTL(LP9,LP9,WE_Days,Tools!$B$10:$B$55),1)</f>
        <v>1</v>
      </c>
      <c r="LQ8" s="156">
        <f>IF(Work_D_Only_Bool,NETWORKDAYS.INTL(LQ9,LQ9,WE_Days,Tools!$B$10:$B$55),1)</f>
        <v>1</v>
      </c>
      <c r="LR8" s="156">
        <f>IF(Work_D_Only_Bool,NETWORKDAYS.INTL(LR9,LR9,WE_Days,Tools!$B$10:$B$55),1)</f>
        <v>1</v>
      </c>
      <c r="LS8" s="156">
        <f>IF(Work_D_Only_Bool,NETWORKDAYS.INTL(LS9,LS9,WE_Days,Tools!$B$10:$B$55),1)</f>
        <v>1</v>
      </c>
      <c r="LT8" s="156">
        <f>IF(Work_D_Only_Bool,NETWORKDAYS.INTL(LT9,LT9,WE_Days,Tools!$B$10:$B$55),1)</f>
        <v>1</v>
      </c>
      <c r="LU8" s="156">
        <f>IF(Work_D_Only_Bool,NETWORKDAYS.INTL(LU9,LU9,WE_Days,Tools!$B$10:$B$55),1)</f>
        <v>1</v>
      </c>
      <c r="LV8" s="156">
        <f>IF(Work_D_Only_Bool,NETWORKDAYS.INTL(LV9,LV9,WE_Days,Tools!$B$10:$B$55),1)</f>
        <v>1</v>
      </c>
      <c r="LW8" s="156">
        <f>IF(Work_D_Only_Bool,NETWORKDAYS.INTL(LW9,LW9,WE_Days,Tools!$B$10:$B$55),1)</f>
        <v>1</v>
      </c>
      <c r="LX8" s="156">
        <f>IF(Work_D_Only_Bool,NETWORKDAYS.INTL(LX9,LX9,WE_Days,Tools!$B$10:$B$55),1)</f>
        <v>1</v>
      </c>
      <c r="LY8" s="156">
        <f>IF(Work_D_Only_Bool,NETWORKDAYS.INTL(LY9,LY9,WE_Days,Tools!$B$10:$B$55),1)</f>
        <v>1</v>
      </c>
      <c r="LZ8" s="156">
        <f>IF(Work_D_Only_Bool,NETWORKDAYS.INTL(LZ9,LZ9,WE_Days,Tools!$B$10:$B$55),1)</f>
        <v>1</v>
      </c>
      <c r="MA8" s="156">
        <f>IF(Work_D_Only_Bool,NETWORKDAYS.INTL(MA9,MA9,WE_Days,Tools!$B$10:$B$55),1)</f>
        <v>1</v>
      </c>
      <c r="MB8" s="156">
        <f>IF(Work_D_Only_Bool,NETWORKDAYS.INTL(MB9,MB9,WE_Days,Tools!$B$10:$B$55),1)</f>
        <v>1</v>
      </c>
      <c r="MC8" s="156">
        <f>IF(Work_D_Only_Bool,NETWORKDAYS.INTL(MC9,MC9,WE_Days,Tools!$B$10:$B$55),1)</f>
        <v>1</v>
      </c>
      <c r="MD8" s="156">
        <f>IF(Work_D_Only_Bool,NETWORKDAYS.INTL(MD9,MD9,WE_Days,Tools!$B$10:$B$55),1)</f>
        <v>1</v>
      </c>
      <c r="ME8" s="156">
        <f>IF(Work_D_Only_Bool,NETWORKDAYS.INTL(ME9,ME9,WE_Days,Tools!$B$10:$B$55),1)</f>
        <v>1</v>
      </c>
      <c r="MF8" s="156">
        <f>IF(Work_D_Only_Bool,NETWORKDAYS.INTL(MF9,MF9,WE_Days,Tools!$B$10:$B$55),1)</f>
        <v>1</v>
      </c>
      <c r="MG8" s="156">
        <f>IF(Work_D_Only_Bool,NETWORKDAYS.INTL(MG9,MG9,WE_Days,Tools!$B$10:$B$55),1)</f>
        <v>1</v>
      </c>
      <c r="MH8" s="156">
        <f>IF(Work_D_Only_Bool,NETWORKDAYS.INTL(MH9,MH9,WE_Days,Tools!$B$10:$B$55),1)</f>
        <v>1</v>
      </c>
      <c r="MI8" s="156">
        <f>IF(Work_D_Only_Bool,NETWORKDAYS.INTL(MI9,MI9,WE_Days,Tools!$B$10:$B$55),1)</f>
        <v>1</v>
      </c>
      <c r="MJ8" s="156">
        <f>IF(Work_D_Only_Bool,NETWORKDAYS.INTL(MJ9,MJ9,WE_Days,Tools!$B$10:$B$55),1)</f>
        <v>1</v>
      </c>
      <c r="MK8" s="156">
        <f>IF(Work_D_Only_Bool,NETWORKDAYS.INTL(MK9,MK9,WE_Days,Tools!$B$10:$B$55),1)</f>
        <v>1</v>
      </c>
      <c r="ML8" s="156">
        <f>IF(Work_D_Only_Bool,NETWORKDAYS.INTL(ML9,ML9,WE_Days,Tools!$B$10:$B$55),1)</f>
        <v>1</v>
      </c>
      <c r="MM8" s="156">
        <f>IF(Work_D_Only_Bool,NETWORKDAYS.INTL(MM9,MM9,WE_Days,Tools!$B$10:$B$55),1)</f>
        <v>1</v>
      </c>
      <c r="MN8" s="156">
        <f>IF(Work_D_Only_Bool,NETWORKDAYS.INTL(MN9,MN9,WE_Days,Tools!$B$10:$B$55),1)</f>
        <v>1</v>
      </c>
      <c r="MO8" s="156">
        <f>IF(Work_D_Only_Bool,NETWORKDAYS.INTL(MO9,MO9,WE_Days,Tools!$B$10:$B$55),1)</f>
        <v>1</v>
      </c>
      <c r="MP8" s="156">
        <f>IF(Work_D_Only_Bool,NETWORKDAYS.INTL(MP9,MP9,WE_Days,Tools!$B$10:$B$55),1)</f>
        <v>1</v>
      </c>
      <c r="MQ8" s="156">
        <f>IF(Work_D_Only_Bool,NETWORKDAYS.INTL(MQ9,MQ9,WE_Days,Tools!$B$10:$B$55),1)</f>
        <v>1</v>
      </c>
      <c r="MR8" s="156">
        <f>IF(Work_D_Only_Bool,NETWORKDAYS.INTL(MR9,MR9,WE_Days,Tools!$B$10:$B$55),1)</f>
        <v>1</v>
      </c>
      <c r="MS8" s="156">
        <f>IF(Work_D_Only_Bool,NETWORKDAYS.INTL(MS9,MS9,WE_Days,Tools!$B$10:$B$55),1)</f>
        <v>1</v>
      </c>
      <c r="MT8" s="156">
        <f>IF(Work_D_Only_Bool,NETWORKDAYS.INTL(MT9,MT9,WE_Days,Tools!$B$10:$B$55),1)</f>
        <v>1</v>
      </c>
      <c r="MU8" s="156">
        <f>IF(Work_D_Only_Bool,NETWORKDAYS.INTL(MU9,MU9,WE_Days,Tools!$B$10:$B$55),1)</f>
        <v>1</v>
      </c>
      <c r="MV8" s="156">
        <f>IF(Work_D_Only_Bool,NETWORKDAYS.INTL(MV9,MV9,WE_Days,Tools!$B$10:$B$55),1)</f>
        <v>1</v>
      </c>
      <c r="MW8" s="156">
        <f>IF(Work_D_Only_Bool,NETWORKDAYS.INTL(MW9,MW9,WE_Days,Tools!$B$10:$B$55),1)</f>
        <v>1</v>
      </c>
      <c r="MX8" s="156">
        <f>IF(Work_D_Only_Bool,NETWORKDAYS.INTL(MX9,MX9,WE_Days,Tools!$B$10:$B$55),1)</f>
        <v>1</v>
      </c>
      <c r="MY8" s="156">
        <f>IF(Work_D_Only_Bool,NETWORKDAYS.INTL(MY9,MY9,WE_Days,Tools!$B$10:$B$55),1)</f>
        <v>1</v>
      </c>
      <c r="MZ8" s="156">
        <f>IF(Work_D_Only_Bool,NETWORKDAYS.INTL(MZ9,MZ9,WE_Days,Tools!$B$10:$B$55),1)</f>
        <v>1</v>
      </c>
      <c r="NA8" s="156">
        <f>IF(Work_D_Only_Bool,NETWORKDAYS.INTL(NA9,NA9,WE_Days,Tools!$B$10:$B$55),1)</f>
        <v>1</v>
      </c>
      <c r="NB8" s="156">
        <f>IF(Work_D_Only_Bool,NETWORKDAYS.INTL(NB9,NB9,WE_Days,Tools!$B$10:$B$55),1)</f>
        <v>1</v>
      </c>
      <c r="NC8" s="156">
        <f>IF(Work_D_Only_Bool,NETWORKDAYS.INTL(NC9,NC9,WE_Days,Tools!$B$10:$B$55),1)</f>
        <v>1</v>
      </c>
      <c r="ND8" s="156">
        <f>IF(Work_D_Only_Bool,NETWORKDAYS.INTL(ND9,ND9,WE_Days,Tools!$B$10:$B$55),1)</f>
        <v>1</v>
      </c>
      <c r="NE8" s="156">
        <f>IF(Work_D_Only_Bool,NETWORKDAYS.INTL(NE9,NE9,WE_Days,Tools!$B$10:$B$55),1)</f>
        <v>1</v>
      </c>
      <c r="NF8" s="156">
        <f>IF(Work_D_Only_Bool,NETWORKDAYS.INTL(NF9,NF9,WE_Days,Tools!$B$10:$B$55),1)</f>
        <v>1</v>
      </c>
      <c r="NG8" s="156">
        <f>IF(Work_D_Only_Bool,NETWORKDAYS.INTL(NG9,NG9,WE_Days,Tools!$B$10:$B$55),1)</f>
        <v>1</v>
      </c>
      <c r="NH8" s="156">
        <f>IF(Work_D_Only_Bool,NETWORKDAYS.INTL(NH9,NH9,WE_Days,Tools!$B$10:$B$55),1)</f>
        <v>1</v>
      </c>
      <c r="NI8" s="156">
        <f>IF(Work_D_Only_Bool,NETWORKDAYS.INTL(NI9,NI9,WE_Days,Tools!$B$10:$B$55),1)</f>
        <v>1</v>
      </c>
      <c r="NJ8" s="156">
        <f>IF(Work_D_Only_Bool,NETWORKDAYS.INTL(NJ9,NJ9,WE_Days,Tools!$B$10:$B$55),1)</f>
        <v>1</v>
      </c>
      <c r="NK8" s="156">
        <f>IF(Work_D_Only_Bool,NETWORKDAYS.INTL(NK9,NK9,WE_Days,Tools!$B$10:$B$55),1)</f>
        <v>1</v>
      </c>
      <c r="NL8" s="156">
        <f>IF(Work_D_Only_Bool,NETWORKDAYS.INTL(NL9,NL9,WE_Days,Tools!$B$10:$B$55),1)</f>
        <v>1</v>
      </c>
      <c r="NM8" s="156">
        <f>IF(Work_D_Only_Bool,NETWORKDAYS.INTL(NM9,NM9,WE_Days,Tools!$B$10:$B$55),1)</f>
        <v>1</v>
      </c>
      <c r="NN8" s="156">
        <f>IF(Work_D_Only_Bool,NETWORKDAYS.INTL(NN9,NN9,WE_Days,Tools!$B$10:$B$55),1)</f>
        <v>1</v>
      </c>
      <c r="NO8" s="156">
        <f>IF(Work_D_Only_Bool,NETWORKDAYS.INTL(NO9,NO9,WE_Days,Tools!$B$10:$B$55),1)</f>
        <v>1</v>
      </c>
      <c r="NP8" s="156">
        <f>IF(Work_D_Only_Bool,NETWORKDAYS.INTL(NP9,NP9,WE_Days,Tools!$B$10:$B$55),1)</f>
        <v>1</v>
      </c>
      <c r="NQ8" s="156">
        <f>IF(Work_D_Only_Bool,NETWORKDAYS.INTL(NQ9,NQ9,WE_Days,Tools!$B$10:$B$55),1)</f>
        <v>1</v>
      </c>
      <c r="NR8" s="156">
        <f>IF(Work_D_Only_Bool,NETWORKDAYS.INTL(NR9,NR9,WE_Days,Tools!$B$10:$B$55),1)</f>
        <v>1</v>
      </c>
      <c r="NS8" s="156">
        <f>IF(Work_D_Only_Bool,NETWORKDAYS.INTL(NS9,NS9,WE_Days,Tools!$B$10:$B$55),1)</f>
        <v>1</v>
      </c>
      <c r="NT8" s="156">
        <f>IF(Work_D_Only_Bool,NETWORKDAYS.INTL(NT9,NT9,WE_Days,Tools!$B$10:$B$55),1)</f>
        <v>1</v>
      </c>
      <c r="NU8" s="156">
        <f>IF(Work_D_Only_Bool,NETWORKDAYS.INTL(NU9,NU9,WE_Days,Tools!$B$10:$B$55),1)</f>
        <v>1</v>
      </c>
      <c r="NV8" s="156">
        <f>IF(Work_D_Only_Bool,NETWORKDAYS.INTL(NV9,NV9,WE_Days,Tools!$B$10:$B$55),1)</f>
        <v>1</v>
      </c>
      <c r="NW8" s="156">
        <f>IF(Work_D_Only_Bool,NETWORKDAYS.INTL(NW9,NW9,WE_Days,Tools!$B$10:$B$55),1)</f>
        <v>1</v>
      </c>
      <c r="NX8" s="156">
        <f>IF(Work_D_Only_Bool,NETWORKDAYS.INTL(NX9,NX9,WE_Days,Tools!$B$10:$B$55),1)</f>
        <v>1</v>
      </c>
      <c r="NY8" s="156">
        <f>IF(Work_D_Only_Bool,NETWORKDAYS.INTL(NY9,NY9,WE_Days,Tools!$B$10:$B$55),1)</f>
        <v>1</v>
      </c>
      <c r="NZ8" s="156">
        <f>IF(Work_D_Only_Bool,NETWORKDAYS.INTL(NZ9,NZ9,WE_Days,Tools!$B$10:$B$55),1)</f>
        <v>1</v>
      </c>
      <c r="OA8" s="156">
        <f>IF(Work_D_Only_Bool,NETWORKDAYS.INTL(OA9,OA9,WE_Days,Tools!$B$10:$B$55),1)</f>
        <v>1</v>
      </c>
      <c r="OB8" s="156">
        <f>IF(Work_D_Only_Bool,NETWORKDAYS.INTL(OB9,OB9,WE_Days,Tools!$B$10:$B$55),1)</f>
        <v>1</v>
      </c>
      <c r="OC8" s="156">
        <f>IF(Work_D_Only_Bool,NETWORKDAYS.INTL(OC9,OC9,WE_Days,Tools!$B$10:$B$55),1)</f>
        <v>1</v>
      </c>
      <c r="OD8" s="156">
        <f>IF(Work_D_Only_Bool,NETWORKDAYS.INTL(OD9,OD9,WE_Days,Tools!$B$10:$B$55),1)</f>
        <v>1</v>
      </c>
      <c r="OE8" s="156">
        <f>IF(Work_D_Only_Bool,NETWORKDAYS.INTL(OE9,OE9,WE_Days,Tools!$B$10:$B$55),1)</f>
        <v>1</v>
      </c>
      <c r="OF8" s="156">
        <f>IF(Work_D_Only_Bool,NETWORKDAYS.INTL(OF9,OF9,WE_Days,Tools!$B$10:$B$55),1)</f>
        <v>1</v>
      </c>
      <c r="OG8" s="156">
        <f>IF(Work_D_Only_Bool,NETWORKDAYS.INTL(OG9,OG9,WE_Days,Tools!$B$10:$B$55),1)</f>
        <v>1</v>
      </c>
      <c r="OH8" s="156">
        <f>IF(Work_D_Only_Bool,NETWORKDAYS.INTL(OH9,OH9,WE_Days,Tools!$B$10:$B$55),1)</f>
        <v>1</v>
      </c>
      <c r="OI8" s="156">
        <f>IF(Work_D_Only_Bool,NETWORKDAYS.INTL(OI9,OI9,WE_Days,Tools!$B$10:$B$55),1)</f>
        <v>1</v>
      </c>
      <c r="OJ8" s="156">
        <f>IF(Work_D_Only_Bool,NETWORKDAYS.INTL(OJ9,OJ9,WE_Days,Tools!$B$10:$B$55),1)</f>
        <v>1</v>
      </c>
      <c r="OK8" s="156">
        <f>IF(Work_D_Only_Bool,NETWORKDAYS.INTL(OK9,OK9,WE_Days,Tools!$B$10:$B$55),1)</f>
        <v>1</v>
      </c>
      <c r="OL8" s="156">
        <f>IF(Work_D_Only_Bool,NETWORKDAYS.INTL(OL9,OL9,WE_Days,Tools!$B$10:$B$55),1)</f>
        <v>1</v>
      </c>
      <c r="OM8" s="156">
        <f>IF(Work_D_Only_Bool,NETWORKDAYS.INTL(OM9,OM9,WE_Days,Tools!$B$10:$B$55),1)</f>
        <v>1</v>
      </c>
      <c r="ON8" s="156">
        <f>IF(Work_D_Only_Bool,NETWORKDAYS.INTL(ON9,ON9,WE_Days,Tools!$B$10:$B$55),1)</f>
        <v>1</v>
      </c>
      <c r="OO8" s="156">
        <f>IF(Work_D_Only_Bool,NETWORKDAYS.INTL(OO9,OO9,WE_Days,Tools!$B$10:$B$55),1)</f>
        <v>1</v>
      </c>
      <c r="OP8" s="156">
        <f>IF(Work_D_Only_Bool,NETWORKDAYS.INTL(OP9,OP9,WE_Days,Tools!$B$10:$B$55),1)</f>
        <v>1</v>
      </c>
      <c r="OQ8" s="156">
        <f>IF(Work_D_Only_Bool,NETWORKDAYS.INTL(OQ9,OQ9,WE_Days,Tools!$B$10:$B$55),1)</f>
        <v>1</v>
      </c>
      <c r="OR8" s="156">
        <f>IF(Work_D_Only_Bool,NETWORKDAYS.INTL(OR9,OR9,WE_Days,Tools!$B$10:$B$55),1)</f>
        <v>1</v>
      </c>
      <c r="OS8" s="156">
        <f>IF(Work_D_Only_Bool,NETWORKDAYS.INTL(OS9,OS9,WE_Days,Tools!$B$10:$B$55),1)</f>
        <v>1</v>
      </c>
      <c r="OT8" s="156">
        <f>IF(Work_D_Only_Bool,NETWORKDAYS.INTL(OT9,OT9,WE_Days,Tools!$B$10:$B$55),1)</f>
        <v>1</v>
      </c>
      <c r="OU8" s="156">
        <f>IF(Work_D_Only_Bool,NETWORKDAYS.INTL(OU9,OU9,WE_Days,Tools!$B$10:$B$55),1)</f>
        <v>1</v>
      </c>
      <c r="OV8" s="156">
        <f>IF(Work_D_Only_Bool,NETWORKDAYS.INTL(OV9,OV9,WE_Days,Tools!$B$10:$B$55),1)</f>
        <v>1</v>
      </c>
      <c r="OW8" s="156">
        <f>IF(Work_D_Only_Bool,NETWORKDAYS.INTL(OW9,OW9,WE_Days,Tools!$B$10:$B$55),1)</f>
        <v>1</v>
      </c>
      <c r="OX8" s="156">
        <f>IF(Work_D_Only_Bool,NETWORKDAYS.INTL(OX9,OX9,WE_Days,Tools!$B$10:$B$55),1)</f>
        <v>1</v>
      </c>
      <c r="OY8" s="156">
        <f>IF(Work_D_Only_Bool,NETWORKDAYS.INTL(OY9,OY9,WE_Days,Tools!$B$10:$B$55),1)</f>
        <v>1</v>
      </c>
      <c r="OZ8" s="156">
        <f>IF(Work_D_Only_Bool,NETWORKDAYS.INTL(OZ9,OZ9,WE_Days,Tools!$B$10:$B$55),1)</f>
        <v>1</v>
      </c>
      <c r="PA8" s="156">
        <f>IF(Work_D_Only_Bool,NETWORKDAYS.INTL(PA9,PA9,WE_Days,Tools!$B$10:$B$55),1)</f>
        <v>1</v>
      </c>
      <c r="PB8" s="156">
        <f>IF(Work_D_Only_Bool,NETWORKDAYS.INTL(PB9,PB9,WE_Days,Tools!$B$10:$B$55),1)</f>
        <v>1</v>
      </c>
      <c r="PC8" s="156">
        <f>IF(Work_D_Only_Bool,NETWORKDAYS.INTL(PC9,PC9,WE_Days,Tools!$B$10:$B$55),1)</f>
        <v>1</v>
      </c>
      <c r="PD8" s="156">
        <f>IF(Work_D_Only_Bool,NETWORKDAYS.INTL(PD9,PD9,WE_Days,Tools!$B$10:$B$55),1)</f>
        <v>1</v>
      </c>
      <c r="PE8" s="201">
        <f>IF(Work_D_Only_Bool,NETWORKDAYS.INTL(PE9,PE9,WE_Days,Tools!$B$10:$B$55),1)</f>
        <v>1</v>
      </c>
      <c r="PF8" s="201">
        <f>IF(Work_D_Only_Bool,NETWORKDAYS.INTL(PF9,PF9,WE_Days,Tools!$B$10:$B$55),1)</f>
        <v>1</v>
      </c>
      <c r="PG8" s="201">
        <f>IF(Work_D_Only_Bool,NETWORKDAYS.INTL(PG9,PG9,WE_Days,Tools!$B$10:$B$55),1)</f>
        <v>1</v>
      </c>
      <c r="PH8" s="201">
        <f>IF(Work_D_Only_Bool,NETWORKDAYS.INTL(PH9,PH9,WE_Days,Tools!$B$10:$B$55),1)</f>
        <v>1</v>
      </c>
      <c r="PI8" s="201">
        <f>IF(Work_D_Only_Bool,NETWORKDAYS.INTL(PI9,PI9,WE_Days,Tools!$B$10:$B$55),1)</f>
        <v>1</v>
      </c>
      <c r="PJ8" s="201">
        <f>IF(Work_D_Only_Bool,NETWORKDAYS.INTL(PJ9,PJ9,WE_Days,Tools!$B$10:$B$55),1)</f>
        <v>1</v>
      </c>
      <c r="PK8" s="201">
        <f>IF(Work_D_Only_Bool,NETWORKDAYS.INTL(PK9,PK9,WE_Days,Tools!$B$10:$B$55),1)</f>
        <v>1</v>
      </c>
      <c r="PL8" s="201">
        <f>IF(Work_D_Only_Bool,NETWORKDAYS.INTL(PL9,PL9,WE_Days,Tools!$B$10:$B$55),1)</f>
        <v>1</v>
      </c>
      <c r="PM8" s="201">
        <f>IF(Work_D_Only_Bool,NETWORKDAYS.INTL(PM9,PM9,WE_Days,Tools!$B$10:$B$55),1)</f>
        <v>1</v>
      </c>
      <c r="PN8" s="201">
        <f>IF(Work_D_Only_Bool,NETWORKDAYS.INTL(PN9,PN9,WE_Days,Tools!$B$10:$B$55),1)</f>
        <v>1</v>
      </c>
      <c r="PO8" s="201">
        <f>IF(Work_D_Only_Bool,NETWORKDAYS.INTL(PO9,PO9,WE_Days,Tools!$B$10:$B$55),1)</f>
        <v>1</v>
      </c>
      <c r="PP8" s="156">
        <f>IF(Work_D_Only_Bool,NETWORKDAYS.INTL(PP9,PP9,WE_Days,Tools!$B$10:$B$55),1)</f>
        <v>1</v>
      </c>
      <c r="PQ8" s="156">
        <f>IF(Work_D_Only_Bool,NETWORKDAYS.INTL(PQ9,PQ9,WE_Days,Tools!$B$10:$B$55),1)</f>
        <v>1</v>
      </c>
      <c r="PR8" s="156">
        <f>IF(Work_D_Only_Bool,NETWORKDAYS.INTL(PR9,PR9,WE_Days,Tools!$B$10:$B$55),1)</f>
        <v>1</v>
      </c>
      <c r="PS8" s="156">
        <f>IF(Work_D_Only_Bool,NETWORKDAYS.INTL(PS9,PS9,WE_Days,Tools!$B$10:$B$55),1)</f>
        <v>1</v>
      </c>
      <c r="PT8" s="156">
        <f>IF(Work_D_Only_Bool,NETWORKDAYS.INTL(PT9,PT9,WE_Days,Tools!$B$10:$B$55),1)</f>
        <v>1</v>
      </c>
      <c r="PU8" s="156">
        <f>IF(Work_D_Only_Bool,NETWORKDAYS.INTL(PU9,PU9,WE_Days,Tools!$B$10:$B$55),1)</f>
        <v>1</v>
      </c>
      <c r="PV8" s="156">
        <f>IF(Work_D_Only_Bool,NETWORKDAYS.INTL(PV9,PV9,WE_Days,Tools!$B$10:$B$55),1)</f>
        <v>1</v>
      </c>
      <c r="PW8" s="156">
        <f>IF(Work_D_Only_Bool,NETWORKDAYS.INTL(PW9,PW9,WE_Days,Tools!$B$10:$B$55),1)</f>
        <v>1</v>
      </c>
      <c r="PX8" s="156">
        <f>IF(Work_D_Only_Bool,NETWORKDAYS.INTL(PX9,PX9,WE_Days,Tools!$B$10:$B$55),1)</f>
        <v>1</v>
      </c>
      <c r="PY8" s="156">
        <f>IF(Work_D_Only_Bool,NETWORKDAYS.INTL(PY9,PY9,WE_Days,Tools!$B$10:$B$55),1)</f>
        <v>1</v>
      </c>
      <c r="PZ8" s="156">
        <f>IF(Work_D_Only_Bool,NETWORKDAYS.INTL(PZ9,PZ9,WE_Days,Tools!$B$10:$B$55),1)</f>
        <v>1</v>
      </c>
      <c r="QA8" s="201">
        <f>IF(Work_D_Only_Bool,NETWORKDAYS.INTL(QA9,QA9,WE_Days,Tools!$B$10:$B$55),1)</f>
        <v>1</v>
      </c>
      <c r="QB8" s="201">
        <f>IF(Work_D_Only_Bool,NETWORKDAYS.INTL(QB9,QB9,WE_Days,Tools!$B$10:$B$55),1)</f>
        <v>1</v>
      </c>
      <c r="QC8" s="201">
        <f>IF(Work_D_Only_Bool,NETWORKDAYS.INTL(QC9,QC9,WE_Days,Tools!$B$10:$B$55),1)</f>
        <v>1</v>
      </c>
      <c r="QD8" s="201">
        <f>IF(Work_D_Only_Bool,NETWORKDAYS.INTL(QD9,QD9,WE_Days,Tools!$B$10:$B$55),1)</f>
        <v>1</v>
      </c>
      <c r="QE8" s="201">
        <f>IF(Work_D_Only_Bool,NETWORKDAYS.INTL(QE9,QE9,WE_Days,Tools!$B$10:$B$55),1)</f>
        <v>1</v>
      </c>
      <c r="QF8" s="201">
        <f>IF(Work_D_Only_Bool,NETWORKDAYS.INTL(QF9,QF9,WE_Days,Tools!$B$10:$B$55),1)</f>
        <v>1</v>
      </c>
      <c r="QG8" s="201">
        <f>IF(Work_D_Only_Bool,NETWORKDAYS.INTL(QG9,QG9,WE_Days,Tools!$B$10:$B$55),1)</f>
        <v>1</v>
      </c>
      <c r="QH8" s="201">
        <f>IF(Work_D_Only_Bool,NETWORKDAYS.INTL(QH9,QH9,WE_Days,Tools!$B$10:$B$55),1)</f>
        <v>1</v>
      </c>
      <c r="QI8" s="201">
        <f>IF(Work_D_Only_Bool,NETWORKDAYS.INTL(QI9,QI9,WE_Days,Tools!$B$10:$B$55),1)</f>
        <v>1</v>
      </c>
      <c r="QJ8" s="201">
        <f>IF(Work_D_Only_Bool,NETWORKDAYS.INTL(QJ9,QJ9,WE_Days,Tools!$B$10:$B$55),1)</f>
        <v>1</v>
      </c>
      <c r="QK8" s="201">
        <f>IF(Work_D_Only_Bool,NETWORKDAYS.INTL(QK9,QK9,WE_Days,Tools!$B$10:$B$55),1)</f>
        <v>1</v>
      </c>
      <c r="QL8" s="201">
        <f>IF(Work_D_Only_Bool,NETWORKDAYS.INTL(QL9,QL9,WE_Days,Tools!$B$10:$B$55),1)</f>
        <v>1</v>
      </c>
      <c r="QM8" s="201">
        <f>IF(Work_D_Only_Bool,NETWORKDAYS.INTL(QM9,QM9,WE_Days,Tools!$B$10:$B$55),1)</f>
        <v>1</v>
      </c>
      <c r="QN8" s="201">
        <f>IF(Work_D_Only_Bool,NETWORKDAYS.INTL(QN9,QN9,WE_Days,Tools!$B$10:$B$55),1)</f>
        <v>1</v>
      </c>
      <c r="QO8" s="201">
        <f>IF(Work_D_Only_Bool,NETWORKDAYS.INTL(QO9,QO9,WE_Days,Tools!$B$10:$B$55),1)</f>
        <v>1</v>
      </c>
      <c r="QP8" s="201">
        <f>IF(Work_D_Only_Bool,NETWORKDAYS.INTL(QP9,QP9,WE_Days,Tools!$B$10:$B$55),1)</f>
        <v>1</v>
      </c>
      <c r="QQ8" s="201">
        <f>IF(Work_D_Only_Bool,NETWORKDAYS.INTL(QQ9,QQ9,WE_Days,Tools!$B$10:$B$55),1)</f>
        <v>1</v>
      </c>
      <c r="QR8" s="201">
        <f>IF(Work_D_Only_Bool,NETWORKDAYS.INTL(QR9,QR9,WE_Days,Tools!$B$10:$B$55),1)</f>
        <v>1</v>
      </c>
      <c r="QS8" s="201">
        <f>IF(Work_D_Only_Bool,NETWORKDAYS.INTL(QS9,QS9,WE_Days,Tools!$B$10:$B$55),1)</f>
        <v>1</v>
      </c>
      <c r="QT8" s="156">
        <f>IF(Work_D_Only_Bool,NETWORKDAYS.INTL(QT9,QT9,WE_Days,Tools!$B$10:$B$55),1)</f>
        <v>1</v>
      </c>
      <c r="QU8" s="156">
        <f>IF(Work_D_Only_Bool,NETWORKDAYS.INTL(QU9,QU9,WE_Days,Tools!$B$10:$B$55),1)</f>
        <v>1</v>
      </c>
      <c r="QV8" s="156">
        <f>IF(Work_D_Only_Bool,NETWORKDAYS.INTL(QV9,QV9,WE_Days,Tools!$B$10:$B$55),1)</f>
        <v>1</v>
      </c>
      <c r="QW8" s="156">
        <f>IF(Work_D_Only_Bool,NETWORKDAYS.INTL(QW9,QW9,WE_Days,Tools!$B$10:$B$55),1)</f>
        <v>1</v>
      </c>
      <c r="QX8" s="156">
        <f>IF(Work_D_Only_Bool,NETWORKDAYS.INTL(QX9,QX9,WE_Days,Tools!$B$10:$B$55),1)</f>
        <v>1</v>
      </c>
      <c r="QY8" s="156">
        <f>IF(Work_D_Only_Bool,NETWORKDAYS.INTL(QY9,QY9,WE_Days,Tools!$B$10:$B$55),1)</f>
        <v>1</v>
      </c>
      <c r="QZ8" s="156">
        <f>IF(Work_D_Only_Bool,NETWORKDAYS.INTL(QZ9,QZ9,WE_Days,Tools!$B$10:$B$55),1)</f>
        <v>1</v>
      </c>
      <c r="RA8" s="156">
        <f>IF(Work_D_Only_Bool,NETWORKDAYS.INTL(RA9,RA9,WE_Days,Tools!$B$10:$B$55),1)</f>
        <v>1</v>
      </c>
      <c r="RB8" s="156">
        <f>IF(Work_D_Only_Bool,NETWORKDAYS.INTL(RB9,RB9,WE_Days,Tools!$B$10:$B$55),1)</f>
        <v>1</v>
      </c>
      <c r="RC8" s="156">
        <f>IF(Work_D_Only_Bool,NETWORKDAYS.INTL(RC9,RC9,WE_Days,Tools!$B$10:$B$55),1)</f>
        <v>1</v>
      </c>
      <c r="RD8" s="156">
        <f>IF(Work_D_Only_Bool,NETWORKDAYS.INTL(RD9,RD9,WE_Days,Tools!$B$10:$B$55),1)</f>
        <v>1</v>
      </c>
      <c r="RE8" s="156">
        <f>IF(Work_D_Only_Bool,NETWORKDAYS.INTL(RE9,RE9,WE_Days,Tools!$B$10:$B$55),1)</f>
        <v>1</v>
      </c>
      <c r="RF8" s="156">
        <f>IF(Work_D_Only_Bool,NETWORKDAYS.INTL(RF9,RF9,WE_Days,Tools!$B$10:$B$55),1)</f>
        <v>1</v>
      </c>
      <c r="RG8" s="156">
        <f>IF(Work_D_Only_Bool,NETWORKDAYS.INTL(RG9,RG9,WE_Days,Tools!$B$10:$B$55),1)</f>
        <v>1</v>
      </c>
      <c r="RH8" s="156">
        <f>IF(Work_D_Only_Bool,NETWORKDAYS.INTL(RH9,RH9,WE_Days,Tools!$B$10:$B$55),1)</f>
        <v>1</v>
      </c>
      <c r="RI8" s="156">
        <f>IF(Work_D_Only_Bool,NETWORKDAYS.INTL(RI9,RI9,WE_Days,Tools!$B$10:$B$55),1)</f>
        <v>1</v>
      </c>
      <c r="RJ8" s="156">
        <f>IF(Work_D_Only_Bool,NETWORKDAYS.INTL(RJ9,RJ9,WE_Days,Tools!$B$10:$B$55),1)</f>
        <v>1</v>
      </c>
      <c r="RK8" s="156">
        <f>IF(Work_D_Only_Bool,NETWORKDAYS.INTL(RK9,RK9,WE_Days,Tools!$B$10:$B$55),1)</f>
        <v>1</v>
      </c>
      <c r="RL8" s="201">
        <f>IF(Work_D_Only_Bool,NETWORKDAYS.INTL(RL9,RL9,WE_Days,Tools!$B$10:$B$55),1)</f>
        <v>1</v>
      </c>
      <c r="RM8" s="201">
        <f>IF(Work_D_Only_Bool,NETWORKDAYS.INTL(RM9,RM9,WE_Days,Tools!$B$10:$B$55),1)</f>
        <v>1</v>
      </c>
      <c r="RN8" s="201">
        <f>IF(Work_D_Only_Bool,NETWORKDAYS.INTL(RN9,RN9,WE_Days,Tools!$B$10:$B$55),1)</f>
        <v>1</v>
      </c>
      <c r="RO8" s="156">
        <f>IF(Work_D_Only_Bool,NETWORKDAYS.INTL(RO9,RO9,WE_Days,Tools!$B$10:$B$55),1)</f>
        <v>1</v>
      </c>
      <c r="RP8" s="156">
        <f>IF(Work_D_Only_Bool,NETWORKDAYS.INTL(RP9,RP9,WE_Days,Tools!$B$10:$B$55),1)</f>
        <v>1</v>
      </c>
      <c r="RQ8" s="156">
        <f>IF(Work_D_Only_Bool,NETWORKDAYS.INTL(RQ9,RQ9,WE_Days,Tools!$B$10:$B$55),1)</f>
        <v>1</v>
      </c>
      <c r="RR8" s="156">
        <f>IF(Work_D_Only_Bool,NETWORKDAYS.INTL(RR9,RR9,WE_Days,Tools!$B$10:$B$55),1)</f>
        <v>1</v>
      </c>
      <c r="RS8" s="156">
        <f>IF(Work_D_Only_Bool,NETWORKDAYS.INTL(RS9,RS9,WE_Days,Tools!$B$10:$B$55),1)</f>
        <v>1</v>
      </c>
      <c r="RT8" s="156">
        <f>IF(Work_D_Only_Bool,NETWORKDAYS.INTL(RT9,RT9,WE_Days,Tools!$B$10:$B$55),1)</f>
        <v>1</v>
      </c>
      <c r="RU8" s="156">
        <f>IF(Work_D_Only_Bool,NETWORKDAYS.INTL(RU9,RU9,WE_Days,Tools!$B$10:$B$55),1)</f>
        <v>1</v>
      </c>
      <c r="RV8" s="156">
        <f>IF(Work_D_Only_Bool,NETWORKDAYS.INTL(RV9,RV9,WE_Days,Tools!$B$10:$B$55),1)</f>
        <v>1</v>
      </c>
      <c r="RW8" s="156">
        <f>IF(Work_D_Only_Bool,NETWORKDAYS.INTL(RW9,RW9,WE_Days,Tools!$B$10:$B$55),1)</f>
        <v>1</v>
      </c>
      <c r="RX8" s="156">
        <f>IF(Work_D_Only_Bool,NETWORKDAYS.INTL(RX9,RX9,WE_Days,Tools!$B$10:$B$55),1)</f>
        <v>1</v>
      </c>
      <c r="RY8" s="156">
        <f>IF(Work_D_Only_Bool,NETWORKDAYS.INTL(RY9,RY9,WE_Days,Tools!$B$10:$B$55),1)</f>
        <v>1</v>
      </c>
      <c r="RZ8" s="156">
        <f>IF(Work_D_Only_Bool,NETWORKDAYS.INTL(RZ9,RZ9,WE_Days,Tools!$B$10:$B$55),1)</f>
        <v>1</v>
      </c>
      <c r="SA8" s="156">
        <f>IF(Work_D_Only_Bool,NETWORKDAYS.INTL(SA9,SA9,WE_Days,Tools!$B$10:$B$55),1)</f>
        <v>1</v>
      </c>
      <c r="SB8" s="156">
        <f>IF(Work_D_Only_Bool,NETWORKDAYS.INTL(SB9,SB9,WE_Days,Tools!$B$10:$B$55),1)</f>
        <v>1</v>
      </c>
      <c r="SC8" s="156">
        <f>IF(Work_D_Only_Bool,NETWORKDAYS.INTL(SC9,SC9,WE_Days,Tools!$B$10:$B$55),1)</f>
        <v>1</v>
      </c>
      <c r="SD8" s="156">
        <f>IF(Work_D_Only_Bool,NETWORKDAYS.INTL(SD9,SD9,WE_Days,Tools!$B$10:$B$55),1)</f>
        <v>1</v>
      </c>
      <c r="SE8" s="156">
        <f>IF(Work_D_Only_Bool,NETWORKDAYS.INTL(SE9,SE9,WE_Days,Tools!$B$10:$B$55),1)</f>
        <v>1</v>
      </c>
      <c r="SF8" s="156">
        <f>IF(Work_D_Only_Bool,NETWORKDAYS.INTL(SF9,SF9,WE_Days,Tools!$B$10:$B$55),1)</f>
        <v>1</v>
      </c>
      <c r="SG8" s="156">
        <f>IF(Work_D_Only_Bool,NETWORKDAYS.INTL(SG9,SG9,WE_Days,Tools!$B$10:$B$55),1)</f>
        <v>1</v>
      </c>
      <c r="SH8" s="156">
        <f>IF(Work_D_Only_Bool,NETWORKDAYS.INTL(SH9,SH9,WE_Days,Tools!$B$10:$B$55),1)</f>
        <v>1</v>
      </c>
      <c r="SI8" s="156">
        <f>IF(Work_D_Only_Bool,NETWORKDAYS.INTL(SI9,SI9,WE_Days,Tools!$B$10:$B$55),1)</f>
        <v>1</v>
      </c>
      <c r="SJ8" s="156">
        <f>IF(Work_D_Only_Bool,NETWORKDAYS.INTL(SJ9,SJ9,WE_Days,Tools!$B$10:$B$55),1)</f>
        <v>1</v>
      </c>
      <c r="SK8" s="156">
        <f>IF(Work_D_Only_Bool,NETWORKDAYS.INTL(SK9,SK9,WE_Days,Tools!$B$10:$B$55),1)</f>
        <v>1</v>
      </c>
      <c r="SL8" s="156">
        <f>IF(Work_D_Only_Bool,NETWORKDAYS.INTL(SL9,SL9,WE_Days,Tools!$B$10:$B$55),1)</f>
        <v>1</v>
      </c>
      <c r="SM8" s="156">
        <f>IF(Work_D_Only_Bool,NETWORKDAYS.INTL(SM9,SM9,WE_Days,Tools!$B$10:$B$55),1)</f>
        <v>1</v>
      </c>
      <c r="SN8" s="156">
        <f>IF(Work_D_Only_Bool,NETWORKDAYS.INTL(SN9,SN9,WE_Days,Tools!$B$10:$B$55),1)</f>
        <v>1</v>
      </c>
      <c r="SO8" s="156">
        <f>IF(Work_D_Only_Bool,NETWORKDAYS.INTL(SO9,SO9,WE_Days,Tools!$B$10:$B$55),1)</f>
        <v>1</v>
      </c>
      <c r="SP8" s="156">
        <f>IF(Work_D_Only_Bool,NETWORKDAYS.INTL(SP9,SP9,WE_Days,Tools!$B$10:$B$55),1)</f>
        <v>1</v>
      </c>
      <c r="SQ8" s="156">
        <f>IF(Work_D_Only_Bool,NETWORKDAYS.INTL(SQ9,SQ9,WE_Days,Tools!$B$10:$B$55),1)</f>
        <v>1</v>
      </c>
      <c r="SR8" s="156">
        <f>IF(Work_D_Only_Bool,NETWORKDAYS.INTL(SR9,SR9,WE_Days,Tools!$B$10:$B$55),1)</f>
        <v>1</v>
      </c>
      <c r="SS8" s="156">
        <f>IF(Work_D_Only_Bool,NETWORKDAYS.INTL(SS9,SS9,WE_Days,Tools!$B$10:$B$55),1)</f>
        <v>1</v>
      </c>
      <c r="ST8" s="156">
        <f>IF(Work_D_Only_Bool,NETWORKDAYS.INTL(ST9,ST9,WE_Days,Tools!$B$10:$B$55),1)</f>
        <v>1</v>
      </c>
      <c r="SU8" s="156">
        <f>IF(Work_D_Only_Bool,NETWORKDAYS.INTL(SU9,SU9,WE_Days,Tools!$B$10:$B$55),1)</f>
        <v>1</v>
      </c>
      <c r="SV8" s="156">
        <f>IF(Work_D_Only_Bool,NETWORKDAYS.INTL(SV9,SV9,WE_Days,Tools!$B$10:$B$55),1)</f>
        <v>1</v>
      </c>
      <c r="SW8" s="156">
        <f>IF(Work_D_Only_Bool,NETWORKDAYS.INTL(SW9,SW9,WE_Days,Tools!$B$10:$B$55),1)</f>
        <v>1</v>
      </c>
      <c r="SX8" s="156">
        <f>IF(Work_D_Only_Bool,NETWORKDAYS.INTL(SX9,SX9,WE_Days,Tools!$B$10:$B$55),1)</f>
        <v>1</v>
      </c>
      <c r="SY8" s="156">
        <f>IF(Work_D_Only_Bool,NETWORKDAYS.INTL(SY9,SY9,WE_Days,Tools!$B$10:$B$55),1)</f>
        <v>1</v>
      </c>
      <c r="SZ8" s="156">
        <f>IF(Work_D_Only_Bool,NETWORKDAYS.INTL(SZ9,SZ9,WE_Days,Tools!$B$10:$B$55),1)</f>
        <v>1</v>
      </c>
      <c r="TA8" s="156">
        <f>IF(Work_D_Only_Bool,NETWORKDAYS.INTL(TA9,TA9,WE_Days,Tools!$B$10:$B$55),1)</f>
        <v>1</v>
      </c>
      <c r="TB8" s="156">
        <f>IF(Work_D_Only_Bool,NETWORKDAYS.INTL(TB9,TB9,WE_Days,Tools!$B$10:$B$55),1)</f>
        <v>1</v>
      </c>
      <c r="TC8" s="156">
        <f>IF(Work_D_Only_Bool,NETWORKDAYS.INTL(TC9,TC9,WE_Days,Tools!$B$10:$B$55),1)</f>
        <v>1</v>
      </c>
      <c r="TD8" s="156">
        <f>IF(Work_D_Only_Bool,NETWORKDAYS.INTL(TD9,TD9,WE_Days,Tools!$B$10:$B$55),1)</f>
        <v>1</v>
      </c>
      <c r="TE8" s="156">
        <f>IF(Work_D_Only_Bool,NETWORKDAYS.INTL(TE9,TE9,WE_Days,Tools!$B$10:$B$55),1)</f>
        <v>1</v>
      </c>
      <c r="TF8" s="156">
        <f>IF(Work_D_Only_Bool,NETWORKDAYS.INTL(TF9,TF9,WE_Days,Tools!$B$10:$B$55),1)</f>
        <v>1</v>
      </c>
      <c r="TG8" s="156">
        <f>IF(Work_D_Only_Bool,NETWORKDAYS.INTL(TG9,TG9,WE_Days,Tools!$B$10:$B$55),1)</f>
        <v>1</v>
      </c>
      <c r="TH8" s="156">
        <f>IF(Work_D_Only_Bool,NETWORKDAYS.INTL(TH9,TH9,WE_Days,Tools!$B$10:$B$55),1)</f>
        <v>1</v>
      </c>
      <c r="TI8" s="156">
        <f>IF(Work_D_Only_Bool,NETWORKDAYS.INTL(TI9,TI9,WE_Days,Tools!$B$10:$B$55),1)</f>
        <v>1</v>
      </c>
      <c r="TJ8" s="156">
        <f>IF(Work_D_Only_Bool,NETWORKDAYS.INTL(TJ9,TJ9,WE_Days,Tools!$B$10:$B$55),1)</f>
        <v>1</v>
      </c>
      <c r="TK8" s="156">
        <f>IF(Work_D_Only_Bool,NETWORKDAYS.INTL(TK9,TK9,WE_Days,Tools!$B$10:$B$55),1)</f>
        <v>1</v>
      </c>
      <c r="TL8" s="156">
        <f>IF(Work_D_Only_Bool,NETWORKDAYS.INTL(TL9,TL9,WE_Days,Tools!$B$10:$B$55),1)</f>
        <v>1</v>
      </c>
      <c r="TM8" s="156">
        <f>IF(Work_D_Only_Bool,NETWORKDAYS.INTL(TM9,TM9,WE_Days,Tools!$B$10:$B$55),1)</f>
        <v>1</v>
      </c>
      <c r="TN8" s="156">
        <f>IF(Work_D_Only_Bool,NETWORKDAYS.INTL(TN9,TN9,WE_Days,Tools!$B$10:$B$55),1)</f>
        <v>1</v>
      </c>
      <c r="TO8" s="156">
        <f>IF(Work_D_Only_Bool,NETWORKDAYS.INTL(TO9,TO9,WE_Days,Tools!$B$10:$B$55),1)</f>
        <v>1</v>
      </c>
      <c r="TP8" s="156">
        <f>IF(Work_D_Only_Bool,NETWORKDAYS.INTL(TP9,TP9,WE_Days,Tools!$B$10:$B$55),1)</f>
        <v>1</v>
      </c>
      <c r="TQ8" s="156">
        <f>IF(Work_D_Only_Bool,NETWORKDAYS.INTL(TQ9,TQ9,WE_Days,Tools!$B$10:$B$55),1)</f>
        <v>1</v>
      </c>
      <c r="TR8" s="156">
        <f>IF(Work_D_Only_Bool,NETWORKDAYS.INTL(TR9,TR9,WE_Days,Tools!$B$10:$B$55),1)</f>
        <v>1</v>
      </c>
      <c r="TS8" s="156">
        <f>IF(Work_D_Only_Bool,NETWORKDAYS.INTL(TS9,TS9,WE_Days,Tools!$B$10:$B$55),1)</f>
        <v>1</v>
      </c>
      <c r="TT8" s="156">
        <f>IF(Work_D_Only_Bool,NETWORKDAYS.INTL(TT9,TT9,WE_Days,Tools!$B$10:$B$55),1)</f>
        <v>1</v>
      </c>
      <c r="TU8" s="156">
        <f>IF(Work_D_Only_Bool,NETWORKDAYS.INTL(TU9,TU9,WE_Days,Tools!$B$10:$B$55),1)</f>
        <v>1</v>
      </c>
      <c r="TV8" s="156">
        <f>IF(Work_D_Only_Bool,NETWORKDAYS.INTL(TV9,TV9,WE_Days,Tools!$B$10:$B$55),1)</f>
        <v>1</v>
      </c>
      <c r="TW8" s="156">
        <f>IF(Work_D_Only_Bool,NETWORKDAYS.INTL(TW9,TW9,WE_Days,Tools!$B$10:$B$55),1)</f>
        <v>1</v>
      </c>
      <c r="TX8" s="156">
        <f>IF(Work_D_Only_Bool,NETWORKDAYS.INTL(TX9,TX9,WE_Days,Tools!$B$10:$B$55),1)</f>
        <v>1</v>
      </c>
      <c r="TY8" s="156">
        <f>IF(Work_D_Only_Bool,NETWORKDAYS.INTL(TY9,TY9,WE_Days,Tools!$B$10:$B$55),1)</f>
        <v>1</v>
      </c>
      <c r="TZ8" s="156">
        <f>IF(Work_D_Only_Bool,NETWORKDAYS.INTL(TZ9,TZ9,WE_Days,Tools!$B$10:$B$55),1)</f>
        <v>1</v>
      </c>
      <c r="UA8" s="156">
        <f>IF(Work_D_Only_Bool,NETWORKDAYS.INTL(UA9,UA9,WE_Days,Tools!$B$10:$B$55),1)</f>
        <v>1</v>
      </c>
      <c r="UB8" s="156">
        <f>IF(Work_D_Only_Bool,NETWORKDAYS.INTL(UB9,UB9,WE_Days,Tools!$B$10:$B$55),1)</f>
        <v>1</v>
      </c>
      <c r="UC8" s="156">
        <f>IF(Work_D_Only_Bool,NETWORKDAYS.INTL(UC9,UC9,WE_Days,Tools!$B$10:$B$55),1)</f>
        <v>1</v>
      </c>
      <c r="UD8" s="156">
        <f>IF(Work_D_Only_Bool,NETWORKDAYS.INTL(UD9,UD9,WE_Days,Tools!$B$10:$B$55),1)</f>
        <v>1</v>
      </c>
      <c r="UE8" s="156">
        <f>IF(Work_D_Only_Bool,NETWORKDAYS.INTL(UE9,UE9,WE_Days,Tools!$B$10:$B$55),1)</f>
        <v>1</v>
      </c>
      <c r="UF8" s="156">
        <f>IF(Work_D_Only_Bool,NETWORKDAYS.INTL(UF9,UF9,WE_Days,Tools!$B$10:$B$55),1)</f>
        <v>1</v>
      </c>
      <c r="UG8" s="156">
        <f>IF(Work_D_Only_Bool,NETWORKDAYS.INTL(UG9,UG9,WE_Days,Tools!$B$10:$B$55),1)</f>
        <v>1</v>
      </c>
      <c r="UH8" s="156">
        <f>IF(Work_D_Only_Bool,NETWORKDAYS.INTL(UH9,UH9,WE_Days,Tools!$B$10:$B$55),1)</f>
        <v>1</v>
      </c>
      <c r="UI8" s="156">
        <f>IF(Work_D_Only_Bool,NETWORKDAYS.INTL(UI9,UI9,WE_Days,Tools!$B$10:$B$55),1)</f>
        <v>1</v>
      </c>
      <c r="UJ8" s="156">
        <f>IF(Work_D_Only_Bool,NETWORKDAYS.INTL(UJ9,UJ9,WE_Days,Tools!$B$10:$B$55),1)</f>
        <v>1</v>
      </c>
      <c r="UK8" s="156">
        <f>IF(Work_D_Only_Bool,NETWORKDAYS.INTL(UK9,UK9,WE_Days,Tools!$B$10:$B$55),1)</f>
        <v>1</v>
      </c>
      <c r="UL8" s="156">
        <f>IF(Work_D_Only_Bool,NETWORKDAYS.INTL(UL9,UL9,WE_Days,Tools!$B$10:$B$55),1)</f>
        <v>1</v>
      </c>
      <c r="UM8" s="156">
        <f>IF(Work_D_Only_Bool,NETWORKDAYS.INTL(UM9,UM9,WE_Days,Tools!$B$10:$B$55),1)</f>
        <v>1</v>
      </c>
    </row>
    <row r="9" spans="1:565" s="133" customFormat="1" ht="58.5" hidden="1" customHeight="1">
      <c r="A9" s="238"/>
      <c r="B9" s="238"/>
      <c r="C9" s="238"/>
      <c r="D9" s="238"/>
      <c r="E9" s="238"/>
      <c r="F9" s="241"/>
      <c r="G9" s="241"/>
      <c r="H9" s="238"/>
      <c r="I9" s="238"/>
      <c r="J9" s="248"/>
      <c r="K9" s="245"/>
      <c r="L9" s="239"/>
      <c r="M9" s="245"/>
      <c r="N9" s="245"/>
      <c r="O9" s="245"/>
      <c r="P9" s="245"/>
      <c r="Q9" s="245"/>
      <c r="R9" s="245"/>
      <c r="S9" s="245"/>
      <c r="T9" s="245"/>
      <c r="U9" s="245"/>
      <c r="V9" s="245"/>
      <c r="W9" s="243"/>
      <c r="X9" s="243"/>
      <c r="Y9" s="246" t="s">
        <v>711</v>
      </c>
      <c r="Z9" s="244"/>
      <c r="AA9" s="244"/>
      <c r="AB9" s="247"/>
      <c r="AC9" s="244"/>
      <c r="AD9" s="239"/>
      <c r="AE9" s="239"/>
      <c r="AF9" s="239"/>
      <c r="AG9" s="239"/>
      <c r="AH9" s="239"/>
      <c r="AI9" s="155" t="s">
        <v>463</v>
      </c>
      <c r="AJ9" s="157">
        <f>Start_Date_Fusion</f>
        <v>44256</v>
      </c>
      <c r="AK9" s="157">
        <f t="shared" ref="AK9:CV9" si="0">AJ9+1</f>
        <v>44257</v>
      </c>
      <c r="AL9" s="157">
        <f t="shared" si="0"/>
        <v>44258</v>
      </c>
      <c r="AM9" s="157">
        <f t="shared" si="0"/>
        <v>44259</v>
      </c>
      <c r="AN9" s="157">
        <f t="shared" si="0"/>
        <v>44260</v>
      </c>
      <c r="AO9" s="157">
        <f t="shared" si="0"/>
        <v>44261</v>
      </c>
      <c r="AP9" s="157">
        <f t="shared" si="0"/>
        <v>44262</v>
      </c>
      <c r="AQ9" s="157">
        <f t="shared" si="0"/>
        <v>44263</v>
      </c>
      <c r="AR9" s="157">
        <f t="shared" si="0"/>
        <v>44264</v>
      </c>
      <c r="AS9" s="157">
        <f t="shared" si="0"/>
        <v>44265</v>
      </c>
      <c r="AT9" s="157">
        <f>AS9+1</f>
        <v>44266</v>
      </c>
      <c r="AU9" s="157">
        <f t="shared" si="0"/>
        <v>44267</v>
      </c>
      <c r="AV9" s="157">
        <f t="shared" si="0"/>
        <v>44268</v>
      </c>
      <c r="AW9" s="157">
        <f t="shared" si="0"/>
        <v>44269</v>
      </c>
      <c r="AX9" s="157">
        <f t="shared" si="0"/>
        <v>44270</v>
      </c>
      <c r="AY9" s="157">
        <f t="shared" si="0"/>
        <v>44271</v>
      </c>
      <c r="AZ9" s="157">
        <f t="shared" si="0"/>
        <v>44272</v>
      </c>
      <c r="BA9" s="157">
        <f t="shared" si="0"/>
        <v>44273</v>
      </c>
      <c r="BB9" s="157">
        <f t="shared" si="0"/>
        <v>44274</v>
      </c>
      <c r="BC9" s="157">
        <f t="shared" si="0"/>
        <v>44275</v>
      </c>
      <c r="BD9" s="157">
        <f t="shared" si="0"/>
        <v>44276</v>
      </c>
      <c r="BE9" s="157">
        <f>BD9+1</f>
        <v>44277</v>
      </c>
      <c r="BF9" s="157">
        <f>BE9+1</f>
        <v>44278</v>
      </c>
      <c r="BG9" s="157">
        <f t="shared" si="0"/>
        <v>44279</v>
      </c>
      <c r="BH9" s="157">
        <f t="shared" si="0"/>
        <v>44280</v>
      </c>
      <c r="BI9" s="157">
        <f t="shared" si="0"/>
        <v>44281</v>
      </c>
      <c r="BJ9" s="157">
        <f t="shared" si="0"/>
        <v>44282</v>
      </c>
      <c r="BK9" s="157">
        <f t="shared" si="0"/>
        <v>44283</v>
      </c>
      <c r="BL9" s="157">
        <f t="shared" si="0"/>
        <v>44284</v>
      </c>
      <c r="BM9" s="157">
        <f t="shared" si="0"/>
        <v>44285</v>
      </c>
      <c r="BN9" s="157">
        <f t="shared" si="0"/>
        <v>44286</v>
      </c>
      <c r="BO9" s="157">
        <f t="shared" si="0"/>
        <v>44287</v>
      </c>
      <c r="BP9" s="157">
        <f t="shared" si="0"/>
        <v>44288</v>
      </c>
      <c r="BQ9" s="157">
        <f t="shared" si="0"/>
        <v>44289</v>
      </c>
      <c r="BR9" s="157">
        <f t="shared" si="0"/>
        <v>44290</v>
      </c>
      <c r="BS9" s="157">
        <f t="shared" si="0"/>
        <v>44291</v>
      </c>
      <c r="BT9" s="157">
        <f t="shared" si="0"/>
        <v>44292</v>
      </c>
      <c r="BU9" s="157">
        <f t="shared" si="0"/>
        <v>44293</v>
      </c>
      <c r="BV9" s="157">
        <f t="shared" si="0"/>
        <v>44294</v>
      </c>
      <c r="BW9" s="157">
        <f t="shared" si="0"/>
        <v>44295</v>
      </c>
      <c r="BX9" s="157">
        <f t="shared" si="0"/>
        <v>44296</v>
      </c>
      <c r="BY9" s="157">
        <f t="shared" si="0"/>
        <v>44297</v>
      </c>
      <c r="BZ9" s="157">
        <f t="shared" si="0"/>
        <v>44298</v>
      </c>
      <c r="CA9" s="157">
        <f t="shared" si="0"/>
        <v>44299</v>
      </c>
      <c r="CB9" s="157">
        <f t="shared" si="0"/>
        <v>44300</v>
      </c>
      <c r="CC9" s="157">
        <f t="shared" si="0"/>
        <v>44301</v>
      </c>
      <c r="CD9" s="157">
        <f t="shared" si="0"/>
        <v>44302</v>
      </c>
      <c r="CE9" s="157">
        <f t="shared" si="0"/>
        <v>44303</v>
      </c>
      <c r="CF9" s="157">
        <f t="shared" si="0"/>
        <v>44304</v>
      </c>
      <c r="CG9" s="157">
        <f t="shared" si="0"/>
        <v>44305</v>
      </c>
      <c r="CH9" s="157">
        <f t="shared" si="0"/>
        <v>44306</v>
      </c>
      <c r="CI9" s="157">
        <f t="shared" si="0"/>
        <v>44307</v>
      </c>
      <c r="CJ9" s="157">
        <f t="shared" si="0"/>
        <v>44308</v>
      </c>
      <c r="CK9" s="157">
        <f t="shared" si="0"/>
        <v>44309</v>
      </c>
      <c r="CL9" s="157">
        <f t="shared" si="0"/>
        <v>44310</v>
      </c>
      <c r="CM9" s="157">
        <f t="shared" si="0"/>
        <v>44311</v>
      </c>
      <c r="CN9" s="157">
        <f t="shared" si="0"/>
        <v>44312</v>
      </c>
      <c r="CO9" s="157">
        <f t="shared" si="0"/>
        <v>44313</v>
      </c>
      <c r="CP9" s="157">
        <f t="shared" si="0"/>
        <v>44314</v>
      </c>
      <c r="CQ9" s="157">
        <f t="shared" si="0"/>
        <v>44315</v>
      </c>
      <c r="CR9" s="157">
        <f t="shared" si="0"/>
        <v>44316</v>
      </c>
      <c r="CS9" s="157">
        <f t="shared" si="0"/>
        <v>44317</v>
      </c>
      <c r="CT9" s="157">
        <f t="shared" si="0"/>
        <v>44318</v>
      </c>
      <c r="CU9" s="157">
        <f t="shared" si="0"/>
        <v>44319</v>
      </c>
      <c r="CV9" s="157">
        <f t="shared" si="0"/>
        <v>44320</v>
      </c>
      <c r="CW9" s="157">
        <f t="shared" ref="CW9:FH9" si="1">CV9+1</f>
        <v>44321</v>
      </c>
      <c r="CX9" s="157">
        <f t="shared" si="1"/>
        <v>44322</v>
      </c>
      <c r="CY9" s="157">
        <f t="shared" si="1"/>
        <v>44323</v>
      </c>
      <c r="CZ9" s="157">
        <f t="shared" si="1"/>
        <v>44324</v>
      </c>
      <c r="DA9" s="157">
        <f t="shared" si="1"/>
        <v>44325</v>
      </c>
      <c r="DB9" s="157">
        <f t="shared" si="1"/>
        <v>44326</v>
      </c>
      <c r="DC9" s="157">
        <f t="shared" si="1"/>
        <v>44327</v>
      </c>
      <c r="DD9" s="157">
        <f t="shared" si="1"/>
        <v>44328</v>
      </c>
      <c r="DE9" s="157">
        <f t="shared" si="1"/>
        <v>44329</v>
      </c>
      <c r="DF9" s="157">
        <f t="shared" si="1"/>
        <v>44330</v>
      </c>
      <c r="DG9" s="157">
        <f t="shared" si="1"/>
        <v>44331</v>
      </c>
      <c r="DH9" s="157">
        <f t="shared" si="1"/>
        <v>44332</v>
      </c>
      <c r="DI9" s="157">
        <f t="shared" si="1"/>
        <v>44333</v>
      </c>
      <c r="DJ9" s="157">
        <f t="shared" si="1"/>
        <v>44334</v>
      </c>
      <c r="DK9" s="157">
        <f t="shared" si="1"/>
        <v>44335</v>
      </c>
      <c r="DL9" s="157">
        <f t="shared" si="1"/>
        <v>44336</v>
      </c>
      <c r="DM9" s="157">
        <f t="shared" si="1"/>
        <v>44337</v>
      </c>
      <c r="DN9" s="157">
        <f t="shared" si="1"/>
        <v>44338</v>
      </c>
      <c r="DO9" s="157">
        <f t="shared" si="1"/>
        <v>44339</v>
      </c>
      <c r="DP9" s="157">
        <f t="shared" si="1"/>
        <v>44340</v>
      </c>
      <c r="DQ9" s="157">
        <f t="shared" si="1"/>
        <v>44341</v>
      </c>
      <c r="DR9" s="157">
        <f t="shared" si="1"/>
        <v>44342</v>
      </c>
      <c r="DS9" s="157">
        <f t="shared" si="1"/>
        <v>44343</v>
      </c>
      <c r="DT9" s="157">
        <f t="shared" si="1"/>
        <v>44344</v>
      </c>
      <c r="DU9" s="157">
        <f t="shared" si="1"/>
        <v>44345</v>
      </c>
      <c r="DV9" s="157">
        <f t="shared" si="1"/>
        <v>44346</v>
      </c>
      <c r="DW9" s="157">
        <f t="shared" si="1"/>
        <v>44347</v>
      </c>
      <c r="DX9" s="157">
        <f t="shared" si="1"/>
        <v>44348</v>
      </c>
      <c r="DY9" s="157">
        <f t="shared" si="1"/>
        <v>44349</v>
      </c>
      <c r="DZ9" s="157">
        <f t="shared" si="1"/>
        <v>44350</v>
      </c>
      <c r="EA9" s="157">
        <f t="shared" si="1"/>
        <v>44351</v>
      </c>
      <c r="EB9" s="157">
        <f t="shared" si="1"/>
        <v>44352</v>
      </c>
      <c r="EC9" s="157">
        <f t="shared" si="1"/>
        <v>44353</v>
      </c>
      <c r="ED9" s="157">
        <f t="shared" si="1"/>
        <v>44354</v>
      </c>
      <c r="EE9" s="157">
        <f t="shared" si="1"/>
        <v>44355</v>
      </c>
      <c r="EF9" s="157">
        <f t="shared" si="1"/>
        <v>44356</v>
      </c>
      <c r="EG9" s="157">
        <f t="shared" si="1"/>
        <v>44357</v>
      </c>
      <c r="EH9" s="157">
        <f t="shared" si="1"/>
        <v>44358</v>
      </c>
      <c r="EI9" s="157">
        <f t="shared" si="1"/>
        <v>44359</v>
      </c>
      <c r="EJ9" s="157">
        <f t="shared" si="1"/>
        <v>44360</v>
      </c>
      <c r="EK9" s="157">
        <f t="shared" si="1"/>
        <v>44361</v>
      </c>
      <c r="EL9" s="157">
        <f t="shared" si="1"/>
        <v>44362</v>
      </c>
      <c r="EM9" s="157">
        <f t="shared" si="1"/>
        <v>44363</v>
      </c>
      <c r="EN9" s="157">
        <f t="shared" si="1"/>
        <v>44364</v>
      </c>
      <c r="EO9" s="157">
        <f t="shared" si="1"/>
        <v>44365</v>
      </c>
      <c r="EP9" s="157">
        <f t="shared" si="1"/>
        <v>44366</v>
      </c>
      <c r="EQ9" s="157">
        <f t="shared" si="1"/>
        <v>44367</v>
      </c>
      <c r="ER9" s="157">
        <f t="shared" si="1"/>
        <v>44368</v>
      </c>
      <c r="ES9" s="157">
        <f t="shared" si="1"/>
        <v>44369</v>
      </c>
      <c r="ET9" s="157">
        <f t="shared" si="1"/>
        <v>44370</v>
      </c>
      <c r="EU9" s="157">
        <f t="shared" si="1"/>
        <v>44371</v>
      </c>
      <c r="EV9" s="157">
        <f t="shared" si="1"/>
        <v>44372</v>
      </c>
      <c r="EW9" s="157">
        <f t="shared" si="1"/>
        <v>44373</v>
      </c>
      <c r="EX9" s="157">
        <f t="shared" si="1"/>
        <v>44374</v>
      </c>
      <c r="EY9" s="157">
        <f t="shared" si="1"/>
        <v>44375</v>
      </c>
      <c r="EZ9" s="157">
        <f t="shared" si="1"/>
        <v>44376</v>
      </c>
      <c r="FA9" s="157">
        <f t="shared" si="1"/>
        <v>44377</v>
      </c>
      <c r="FB9" s="157">
        <f t="shared" si="1"/>
        <v>44378</v>
      </c>
      <c r="FC9" s="157">
        <f t="shared" si="1"/>
        <v>44379</v>
      </c>
      <c r="FD9" s="157">
        <f t="shared" si="1"/>
        <v>44380</v>
      </c>
      <c r="FE9" s="157">
        <f t="shared" si="1"/>
        <v>44381</v>
      </c>
      <c r="FF9" s="157">
        <f t="shared" si="1"/>
        <v>44382</v>
      </c>
      <c r="FG9" s="157">
        <f t="shared" si="1"/>
        <v>44383</v>
      </c>
      <c r="FH9" s="157">
        <f t="shared" si="1"/>
        <v>44384</v>
      </c>
      <c r="FI9" s="157">
        <f t="shared" ref="FI9:HT9" si="2">FH9+1</f>
        <v>44385</v>
      </c>
      <c r="FJ9" s="157">
        <f t="shared" si="2"/>
        <v>44386</v>
      </c>
      <c r="FK9" s="157">
        <f t="shared" si="2"/>
        <v>44387</v>
      </c>
      <c r="FL9" s="157">
        <f t="shared" si="2"/>
        <v>44388</v>
      </c>
      <c r="FM9" s="157">
        <f t="shared" si="2"/>
        <v>44389</v>
      </c>
      <c r="FN9" s="157">
        <f t="shared" si="2"/>
        <v>44390</v>
      </c>
      <c r="FO9" s="157">
        <f t="shared" si="2"/>
        <v>44391</v>
      </c>
      <c r="FP9" s="157">
        <f t="shared" si="2"/>
        <v>44392</v>
      </c>
      <c r="FQ9" s="157">
        <f t="shared" si="2"/>
        <v>44393</v>
      </c>
      <c r="FR9" s="157">
        <f t="shared" si="2"/>
        <v>44394</v>
      </c>
      <c r="FS9" s="157">
        <f t="shared" si="2"/>
        <v>44395</v>
      </c>
      <c r="FT9" s="157">
        <f t="shared" si="2"/>
        <v>44396</v>
      </c>
      <c r="FU9" s="157">
        <f t="shared" si="2"/>
        <v>44397</v>
      </c>
      <c r="FV9" s="157">
        <f t="shared" si="2"/>
        <v>44398</v>
      </c>
      <c r="FW9" s="157">
        <f t="shared" si="2"/>
        <v>44399</v>
      </c>
      <c r="FX9" s="157">
        <f t="shared" si="2"/>
        <v>44400</v>
      </c>
      <c r="FY9" s="157">
        <f t="shared" si="2"/>
        <v>44401</v>
      </c>
      <c r="FZ9" s="157">
        <f t="shared" si="2"/>
        <v>44402</v>
      </c>
      <c r="GA9" s="157">
        <f t="shared" si="2"/>
        <v>44403</v>
      </c>
      <c r="GB9" s="157">
        <f t="shared" si="2"/>
        <v>44404</v>
      </c>
      <c r="GC9" s="157">
        <f t="shared" si="2"/>
        <v>44405</v>
      </c>
      <c r="GD9" s="157">
        <f t="shared" si="2"/>
        <v>44406</v>
      </c>
      <c r="GE9" s="157">
        <f t="shared" si="2"/>
        <v>44407</v>
      </c>
      <c r="GF9" s="157">
        <f t="shared" si="2"/>
        <v>44408</v>
      </c>
      <c r="GG9" s="157">
        <f t="shared" si="2"/>
        <v>44409</v>
      </c>
      <c r="GH9" s="157">
        <f t="shared" si="2"/>
        <v>44410</v>
      </c>
      <c r="GI9" s="157">
        <f t="shared" si="2"/>
        <v>44411</v>
      </c>
      <c r="GJ9" s="157">
        <f t="shared" si="2"/>
        <v>44412</v>
      </c>
      <c r="GK9" s="157">
        <f t="shared" si="2"/>
        <v>44413</v>
      </c>
      <c r="GL9" s="157">
        <f t="shared" si="2"/>
        <v>44414</v>
      </c>
      <c r="GM9" s="157">
        <f t="shared" si="2"/>
        <v>44415</v>
      </c>
      <c r="GN9" s="157">
        <f t="shared" si="2"/>
        <v>44416</v>
      </c>
      <c r="GO9" s="157">
        <f t="shared" si="2"/>
        <v>44417</v>
      </c>
      <c r="GP9" s="157">
        <f t="shared" si="2"/>
        <v>44418</v>
      </c>
      <c r="GQ9" s="157">
        <f t="shared" si="2"/>
        <v>44419</v>
      </c>
      <c r="GR9" s="157">
        <f t="shared" si="2"/>
        <v>44420</v>
      </c>
      <c r="GS9" s="157">
        <f t="shared" si="2"/>
        <v>44421</v>
      </c>
      <c r="GT9" s="157">
        <f t="shared" si="2"/>
        <v>44422</v>
      </c>
      <c r="GU9" s="157">
        <f t="shared" si="2"/>
        <v>44423</v>
      </c>
      <c r="GV9" s="157">
        <f t="shared" si="2"/>
        <v>44424</v>
      </c>
      <c r="GW9" s="157">
        <f t="shared" si="2"/>
        <v>44425</v>
      </c>
      <c r="GX9" s="157">
        <f t="shared" si="2"/>
        <v>44426</v>
      </c>
      <c r="GY9" s="157">
        <f t="shared" si="2"/>
        <v>44427</v>
      </c>
      <c r="GZ9" s="157">
        <f t="shared" si="2"/>
        <v>44428</v>
      </c>
      <c r="HA9" s="157">
        <f t="shared" si="2"/>
        <v>44429</v>
      </c>
      <c r="HB9" s="157">
        <f t="shared" si="2"/>
        <v>44430</v>
      </c>
      <c r="HC9" s="157">
        <f t="shared" si="2"/>
        <v>44431</v>
      </c>
      <c r="HD9" s="157">
        <f t="shared" si="2"/>
        <v>44432</v>
      </c>
      <c r="HE9" s="157">
        <f t="shared" si="2"/>
        <v>44433</v>
      </c>
      <c r="HF9" s="157">
        <f t="shared" si="2"/>
        <v>44434</v>
      </c>
      <c r="HG9" s="157">
        <f t="shared" si="2"/>
        <v>44435</v>
      </c>
      <c r="HH9" s="157">
        <f t="shared" si="2"/>
        <v>44436</v>
      </c>
      <c r="HI9" s="157">
        <f t="shared" si="2"/>
        <v>44437</v>
      </c>
      <c r="HJ9" s="157">
        <f t="shared" si="2"/>
        <v>44438</v>
      </c>
      <c r="HK9" s="157">
        <f t="shared" si="2"/>
        <v>44439</v>
      </c>
      <c r="HL9" s="157">
        <f t="shared" si="2"/>
        <v>44440</v>
      </c>
      <c r="HM9" s="157">
        <f t="shared" si="2"/>
        <v>44441</v>
      </c>
      <c r="HN9" s="157">
        <f t="shared" si="2"/>
        <v>44442</v>
      </c>
      <c r="HO9" s="157">
        <f t="shared" si="2"/>
        <v>44443</v>
      </c>
      <c r="HP9" s="157">
        <f t="shared" si="2"/>
        <v>44444</v>
      </c>
      <c r="HQ9" s="157">
        <f t="shared" si="2"/>
        <v>44445</v>
      </c>
      <c r="HR9" s="157">
        <f t="shared" si="2"/>
        <v>44446</v>
      </c>
      <c r="HS9" s="157">
        <f t="shared" si="2"/>
        <v>44447</v>
      </c>
      <c r="HT9" s="157">
        <f t="shared" si="2"/>
        <v>44448</v>
      </c>
      <c r="HU9" s="157">
        <f t="shared" ref="HU9:KF9" si="3">HT9+1</f>
        <v>44449</v>
      </c>
      <c r="HV9" s="157">
        <f t="shared" si="3"/>
        <v>44450</v>
      </c>
      <c r="HW9" s="157">
        <f t="shared" si="3"/>
        <v>44451</v>
      </c>
      <c r="HX9" s="157">
        <f t="shared" si="3"/>
        <v>44452</v>
      </c>
      <c r="HY9" s="157">
        <f t="shared" si="3"/>
        <v>44453</v>
      </c>
      <c r="HZ9" s="157">
        <f t="shared" si="3"/>
        <v>44454</v>
      </c>
      <c r="IA9" s="157">
        <f t="shared" si="3"/>
        <v>44455</v>
      </c>
      <c r="IB9" s="157">
        <f t="shared" si="3"/>
        <v>44456</v>
      </c>
      <c r="IC9" s="157">
        <f t="shared" si="3"/>
        <v>44457</v>
      </c>
      <c r="ID9" s="157">
        <f t="shared" si="3"/>
        <v>44458</v>
      </c>
      <c r="IE9" s="157">
        <f t="shared" si="3"/>
        <v>44459</v>
      </c>
      <c r="IF9" s="157">
        <f t="shared" si="3"/>
        <v>44460</v>
      </c>
      <c r="IG9" s="157">
        <f t="shared" si="3"/>
        <v>44461</v>
      </c>
      <c r="IH9" s="157">
        <f t="shared" si="3"/>
        <v>44462</v>
      </c>
      <c r="II9" s="157">
        <f t="shared" si="3"/>
        <v>44463</v>
      </c>
      <c r="IJ9" s="157">
        <f t="shared" si="3"/>
        <v>44464</v>
      </c>
      <c r="IK9" s="157">
        <f t="shared" si="3"/>
        <v>44465</v>
      </c>
      <c r="IL9" s="157">
        <f t="shared" si="3"/>
        <v>44466</v>
      </c>
      <c r="IM9" s="157">
        <f t="shared" si="3"/>
        <v>44467</v>
      </c>
      <c r="IN9" s="157">
        <f t="shared" si="3"/>
        <v>44468</v>
      </c>
      <c r="IO9" s="157">
        <f t="shared" si="3"/>
        <v>44469</v>
      </c>
      <c r="IP9" s="157">
        <f t="shared" si="3"/>
        <v>44470</v>
      </c>
      <c r="IQ9" s="157">
        <f t="shared" si="3"/>
        <v>44471</v>
      </c>
      <c r="IR9" s="157">
        <f t="shared" si="3"/>
        <v>44472</v>
      </c>
      <c r="IS9" s="157">
        <f t="shared" si="3"/>
        <v>44473</v>
      </c>
      <c r="IT9" s="157">
        <f t="shared" si="3"/>
        <v>44474</v>
      </c>
      <c r="IU9" s="157">
        <f t="shared" si="3"/>
        <v>44475</v>
      </c>
      <c r="IV9" s="157">
        <f t="shared" si="3"/>
        <v>44476</v>
      </c>
      <c r="IW9" s="157">
        <f t="shared" si="3"/>
        <v>44477</v>
      </c>
      <c r="IX9" s="157">
        <f t="shared" si="3"/>
        <v>44478</v>
      </c>
      <c r="IY9" s="157">
        <f t="shared" si="3"/>
        <v>44479</v>
      </c>
      <c r="IZ9" s="157">
        <f t="shared" si="3"/>
        <v>44480</v>
      </c>
      <c r="JA9" s="157">
        <f t="shared" si="3"/>
        <v>44481</v>
      </c>
      <c r="JB9" s="157">
        <f t="shared" si="3"/>
        <v>44482</v>
      </c>
      <c r="JC9" s="157">
        <f t="shared" si="3"/>
        <v>44483</v>
      </c>
      <c r="JD9" s="157">
        <f t="shared" si="3"/>
        <v>44484</v>
      </c>
      <c r="JE9" s="157">
        <f t="shared" si="3"/>
        <v>44485</v>
      </c>
      <c r="JF9" s="157">
        <f t="shared" si="3"/>
        <v>44486</v>
      </c>
      <c r="JG9" s="157">
        <f t="shared" si="3"/>
        <v>44487</v>
      </c>
      <c r="JH9" s="157">
        <f t="shared" si="3"/>
        <v>44488</v>
      </c>
      <c r="JI9" s="157">
        <f t="shared" si="3"/>
        <v>44489</v>
      </c>
      <c r="JJ9" s="157">
        <f t="shared" si="3"/>
        <v>44490</v>
      </c>
      <c r="JK9" s="157">
        <f t="shared" si="3"/>
        <v>44491</v>
      </c>
      <c r="JL9" s="157">
        <f t="shared" si="3"/>
        <v>44492</v>
      </c>
      <c r="JM9" s="157">
        <f t="shared" si="3"/>
        <v>44493</v>
      </c>
      <c r="JN9" s="157">
        <f t="shared" si="3"/>
        <v>44494</v>
      </c>
      <c r="JO9" s="157">
        <f t="shared" si="3"/>
        <v>44495</v>
      </c>
      <c r="JP9" s="157">
        <f t="shared" si="3"/>
        <v>44496</v>
      </c>
      <c r="JQ9" s="157">
        <f t="shared" si="3"/>
        <v>44497</v>
      </c>
      <c r="JR9" s="157">
        <f t="shared" si="3"/>
        <v>44498</v>
      </c>
      <c r="JS9" s="157">
        <f t="shared" si="3"/>
        <v>44499</v>
      </c>
      <c r="JT9" s="157">
        <f t="shared" si="3"/>
        <v>44500</v>
      </c>
      <c r="JU9" s="157">
        <f t="shared" si="3"/>
        <v>44501</v>
      </c>
      <c r="JV9" s="157">
        <f t="shared" si="3"/>
        <v>44502</v>
      </c>
      <c r="JW9" s="157">
        <f t="shared" si="3"/>
        <v>44503</v>
      </c>
      <c r="JX9" s="157">
        <f t="shared" si="3"/>
        <v>44504</v>
      </c>
      <c r="JY9" s="157">
        <f t="shared" si="3"/>
        <v>44505</v>
      </c>
      <c r="JZ9" s="157">
        <f t="shared" si="3"/>
        <v>44506</v>
      </c>
      <c r="KA9" s="157">
        <f t="shared" si="3"/>
        <v>44507</v>
      </c>
      <c r="KB9" s="157">
        <f t="shared" si="3"/>
        <v>44508</v>
      </c>
      <c r="KC9" s="157">
        <f t="shared" si="3"/>
        <v>44509</v>
      </c>
      <c r="KD9" s="157">
        <f t="shared" si="3"/>
        <v>44510</v>
      </c>
      <c r="KE9" s="157">
        <f t="shared" si="3"/>
        <v>44511</v>
      </c>
      <c r="KF9" s="157">
        <f t="shared" si="3"/>
        <v>44512</v>
      </c>
      <c r="KG9" s="157">
        <f t="shared" ref="KG9:MR9" si="4">KF9+1</f>
        <v>44513</v>
      </c>
      <c r="KH9" s="157">
        <f t="shared" si="4"/>
        <v>44514</v>
      </c>
      <c r="KI9" s="157">
        <f t="shared" si="4"/>
        <v>44515</v>
      </c>
      <c r="KJ9" s="157">
        <f t="shared" si="4"/>
        <v>44516</v>
      </c>
      <c r="KK9" s="157">
        <f t="shared" si="4"/>
        <v>44517</v>
      </c>
      <c r="KL9" s="157">
        <f t="shared" si="4"/>
        <v>44518</v>
      </c>
      <c r="KM9" s="157">
        <f t="shared" si="4"/>
        <v>44519</v>
      </c>
      <c r="KN9" s="157">
        <f t="shared" si="4"/>
        <v>44520</v>
      </c>
      <c r="KO9" s="157">
        <f t="shared" si="4"/>
        <v>44521</v>
      </c>
      <c r="KP9" s="157">
        <f t="shared" si="4"/>
        <v>44522</v>
      </c>
      <c r="KQ9" s="157">
        <f t="shared" si="4"/>
        <v>44523</v>
      </c>
      <c r="KR9" s="157">
        <f t="shared" si="4"/>
        <v>44524</v>
      </c>
      <c r="KS9" s="157">
        <f t="shared" si="4"/>
        <v>44525</v>
      </c>
      <c r="KT9" s="157">
        <f t="shared" si="4"/>
        <v>44526</v>
      </c>
      <c r="KU9" s="157">
        <f t="shared" si="4"/>
        <v>44527</v>
      </c>
      <c r="KV9" s="157">
        <f t="shared" si="4"/>
        <v>44528</v>
      </c>
      <c r="KW9" s="157">
        <f t="shared" si="4"/>
        <v>44529</v>
      </c>
      <c r="KX9" s="157">
        <f t="shared" si="4"/>
        <v>44530</v>
      </c>
      <c r="KY9" s="157">
        <f t="shared" si="4"/>
        <v>44531</v>
      </c>
      <c r="KZ9" s="157">
        <f t="shared" si="4"/>
        <v>44532</v>
      </c>
      <c r="LA9" s="157">
        <f t="shared" si="4"/>
        <v>44533</v>
      </c>
      <c r="LB9" s="157">
        <f t="shared" si="4"/>
        <v>44534</v>
      </c>
      <c r="LC9" s="157">
        <f t="shared" si="4"/>
        <v>44535</v>
      </c>
      <c r="LD9" s="157">
        <f t="shared" si="4"/>
        <v>44536</v>
      </c>
      <c r="LE9" s="157">
        <f t="shared" si="4"/>
        <v>44537</v>
      </c>
      <c r="LF9" s="157">
        <f t="shared" si="4"/>
        <v>44538</v>
      </c>
      <c r="LG9" s="157">
        <f t="shared" si="4"/>
        <v>44539</v>
      </c>
      <c r="LH9" s="157">
        <f t="shared" si="4"/>
        <v>44540</v>
      </c>
      <c r="LI9" s="157">
        <f t="shared" si="4"/>
        <v>44541</v>
      </c>
      <c r="LJ9" s="157">
        <f t="shared" si="4"/>
        <v>44542</v>
      </c>
      <c r="LK9" s="157">
        <f t="shared" si="4"/>
        <v>44543</v>
      </c>
      <c r="LL9" s="157">
        <f t="shared" si="4"/>
        <v>44544</v>
      </c>
      <c r="LM9" s="157">
        <f t="shared" si="4"/>
        <v>44545</v>
      </c>
      <c r="LN9" s="157">
        <f t="shared" si="4"/>
        <v>44546</v>
      </c>
      <c r="LO9" s="157">
        <f t="shared" si="4"/>
        <v>44547</v>
      </c>
      <c r="LP9" s="157">
        <f t="shared" si="4"/>
        <v>44548</v>
      </c>
      <c r="LQ9" s="157">
        <f t="shared" si="4"/>
        <v>44549</v>
      </c>
      <c r="LR9" s="157">
        <f t="shared" si="4"/>
        <v>44550</v>
      </c>
      <c r="LS9" s="157">
        <f t="shared" si="4"/>
        <v>44551</v>
      </c>
      <c r="LT9" s="157">
        <f t="shared" si="4"/>
        <v>44552</v>
      </c>
      <c r="LU9" s="157">
        <f t="shared" si="4"/>
        <v>44553</v>
      </c>
      <c r="LV9" s="157">
        <f t="shared" si="4"/>
        <v>44554</v>
      </c>
      <c r="LW9" s="157">
        <f t="shared" si="4"/>
        <v>44555</v>
      </c>
      <c r="LX9" s="157">
        <f t="shared" si="4"/>
        <v>44556</v>
      </c>
      <c r="LY9" s="157">
        <f t="shared" si="4"/>
        <v>44557</v>
      </c>
      <c r="LZ9" s="157">
        <f t="shared" si="4"/>
        <v>44558</v>
      </c>
      <c r="MA9" s="157">
        <f t="shared" si="4"/>
        <v>44559</v>
      </c>
      <c r="MB9" s="157">
        <f t="shared" si="4"/>
        <v>44560</v>
      </c>
      <c r="MC9" s="157">
        <f t="shared" si="4"/>
        <v>44561</v>
      </c>
      <c r="MD9" s="157">
        <f t="shared" si="4"/>
        <v>44562</v>
      </c>
      <c r="ME9" s="157">
        <f t="shared" si="4"/>
        <v>44563</v>
      </c>
      <c r="MF9" s="157">
        <f t="shared" si="4"/>
        <v>44564</v>
      </c>
      <c r="MG9" s="157">
        <f t="shared" si="4"/>
        <v>44565</v>
      </c>
      <c r="MH9" s="157">
        <f t="shared" si="4"/>
        <v>44566</v>
      </c>
      <c r="MI9" s="157">
        <f t="shared" si="4"/>
        <v>44567</v>
      </c>
      <c r="MJ9" s="157">
        <f t="shared" si="4"/>
        <v>44568</v>
      </c>
      <c r="MK9" s="157">
        <f t="shared" si="4"/>
        <v>44569</v>
      </c>
      <c r="ML9" s="157">
        <f t="shared" si="4"/>
        <v>44570</v>
      </c>
      <c r="MM9" s="157">
        <f t="shared" si="4"/>
        <v>44571</v>
      </c>
      <c r="MN9" s="157">
        <f t="shared" si="4"/>
        <v>44572</v>
      </c>
      <c r="MO9" s="157">
        <f t="shared" si="4"/>
        <v>44573</v>
      </c>
      <c r="MP9" s="157">
        <f t="shared" si="4"/>
        <v>44574</v>
      </c>
      <c r="MQ9" s="157">
        <f t="shared" si="4"/>
        <v>44575</v>
      </c>
      <c r="MR9" s="157">
        <f t="shared" si="4"/>
        <v>44576</v>
      </c>
      <c r="MS9" s="157">
        <f t="shared" ref="MS9:PD9" si="5">MR9+1</f>
        <v>44577</v>
      </c>
      <c r="MT9" s="157">
        <f t="shared" si="5"/>
        <v>44578</v>
      </c>
      <c r="MU9" s="157">
        <f t="shared" si="5"/>
        <v>44579</v>
      </c>
      <c r="MV9" s="157">
        <f t="shared" si="5"/>
        <v>44580</v>
      </c>
      <c r="MW9" s="157">
        <f t="shared" si="5"/>
        <v>44581</v>
      </c>
      <c r="MX9" s="157">
        <f t="shared" si="5"/>
        <v>44582</v>
      </c>
      <c r="MY9" s="157">
        <f t="shared" si="5"/>
        <v>44583</v>
      </c>
      <c r="MZ9" s="157">
        <f t="shared" si="5"/>
        <v>44584</v>
      </c>
      <c r="NA9" s="157">
        <f t="shared" si="5"/>
        <v>44585</v>
      </c>
      <c r="NB9" s="157">
        <f t="shared" si="5"/>
        <v>44586</v>
      </c>
      <c r="NC9" s="157">
        <f t="shared" si="5"/>
        <v>44587</v>
      </c>
      <c r="ND9" s="157">
        <f t="shared" si="5"/>
        <v>44588</v>
      </c>
      <c r="NE9" s="157">
        <f t="shared" si="5"/>
        <v>44589</v>
      </c>
      <c r="NF9" s="157">
        <f t="shared" si="5"/>
        <v>44590</v>
      </c>
      <c r="NG9" s="157">
        <f t="shared" si="5"/>
        <v>44591</v>
      </c>
      <c r="NH9" s="157">
        <f t="shared" si="5"/>
        <v>44592</v>
      </c>
      <c r="NI9" s="157">
        <f t="shared" si="5"/>
        <v>44593</v>
      </c>
      <c r="NJ9" s="157">
        <f t="shared" si="5"/>
        <v>44594</v>
      </c>
      <c r="NK9" s="157">
        <f t="shared" si="5"/>
        <v>44595</v>
      </c>
      <c r="NL9" s="157">
        <f t="shared" si="5"/>
        <v>44596</v>
      </c>
      <c r="NM9" s="157">
        <f t="shared" si="5"/>
        <v>44597</v>
      </c>
      <c r="NN9" s="157">
        <f t="shared" si="5"/>
        <v>44598</v>
      </c>
      <c r="NO9" s="157">
        <f t="shared" si="5"/>
        <v>44599</v>
      </c>
      <c r="NP9" s="157">
        <f t="shared" si="5"/>
        <v>44600</v>
      </c>
      <c r="NQ9" s="157">
        <f t="shared" si="5"/>
        <v>44601</v>
      </c>
      <c r="NR9" s="157">
        <f t="shared" si="5"/>
        <v>44602</v>
      </c>
      <c r="NS9" s="157">
        <f t="shared" si="5"/>
        <v>44603</v>
      </c>
      <c r="NT9" s="157">
        <f t="shared" si="5"/>
        <v>44604</v>
      </c>
      <c r="NU9" s="157">
        <f t="shared" si="5"/>
        <v>44605</v>
      </c>
      <c r="NV9" s="157">
        <f t="shared" si="5"/>
        <v>44606</v>
      </c>
      <c r="NW9" s="157">
        <f t="shared" si="5"/>
        <v>44607</v>
      </c>
      <c r="NX9" s="157">
        <f t="shared" si="5"/>
        <v>44608</v>
      </c>
      <c r="NY9" s="157">
        <f t="shared" si="5"/>
        <v>44609</v>
      </c>
      <c r="NZ9" s="157">
        <f t="shared" si="5"/>
        <v>44610</v>
      </c>
      <c r="OA9" s="157">
        <f t="shared" si="5"/>
        <v>44611</v>
      </c>
      <c r="OB9" s="157">
        <f t="shared" si="5"/>
        <v>44612</v>
      </c>
      <c r="OC9" s="157">
        <f t="shared" si="5"/>
        <v>44613</v>
      </c>
      <c r="OD9" s="157">
        <f t="shared" si="5"/>
        <v>44614</v>
      </c>
      <c r="OE9" s="157">
        <f t="shared" si="5"/>
        <v>44615</v>
      </c>
      <c r="OF9" s="157">
        <f t="shared" si="5"/>
        <v>44616</v>
      </c>
      <c r="OG9" s="157">
        <f t="shared" si="5"/>
        <v>44617</v>
      </c>
      <c r="OH9" s="157">
        <f t="shared" si="5"/>
        <v>44618</v>
      </c>
      <c r="OI9" s="157">
        <f t="shared" si="5"/>
        <v>44619</v>
      </c>
      <c r="OJ9" s="157">
        <f t="shared" si="5"/>
        <v>44620</v>
      </c>
      <c r="OK9" s="157">
        <f t="shared" si="5"/>
        <v>44621</v>
      </c>
      <c r="OL9" s="157">
        <f t="shared" si="5"/>
        <v>44622</v>
      </c>
      <c r="OM9" s="157">
        <f t="shared" si="5"/>
        <v>44623</v>
      </c>
      <c r="ON9" s="157">
        <f t="shared" si="5"/>
        <v>44624</v>
      </c>
      <c r="OO9" s="157">
        <f t="shared" si="5"/>
        <v>44625</v>
      </c>
      <c r="OP9" s="157">
        <f t="shared" si="5"/>
        <v>44626</v>
      </c>
      <c r="OQ9" s="157">
        <f t="shared" si="5"/>
        <v>44627</v>
      </c>
      <c r="OR9" s="157">
        <f t="shared" si="5"/>
        <v>44628</v>
      </c>
      <c r="OS9" s="157">
        <f t="shared" si="5"/>
        <v>44629</v>
      </c>
      <c r="OT9" s="157">
        <f t="shared" si="5"/>
        <v>44630</v>
      </c>
      <c r="OU9" s="157">
        <f t="shared" si="5"/>
        <v>44631</v>
      </c>
      <c r="OV9" s="157">
        <f t="shared" si="5"/>
        <v>44632</v>
      </c>
      <c r="OW9" s="157">
        <f t="shared" si="5"/>
        <v>44633</v>
      </c>
      <c r="OX9" s="157">
        <f t="shared" si="5"/>
        <v>44634</v>
      </c>
      <c r="OY9" s="157">
        <f t="shared" si="5"/>
        <v>44635</v>
      </c>
      <c r="OZ9" s="157">
        <f t="shared" si="5"/>
        <v>44636</v>
      </c>
      <c r="PA9" s="157">
        <f t="shared" si="5"/>
        <v>44637</v>
      </c>
      <c r="PB9" s="157">
        <f t="shared" si="5"/>
        <v>44638</v>
      </c>
      <c r="PC9" s="157">
        <f t="shared" si="5"/>
        <v>44639</v>
      </c>
      <c r="PD9" s="157">
        <f t="shared" si="5"/>
        <v>44640</v>
      </c>
      <c r="PE9" s="157">
        <f t="shared" ref="PE9:RP9" si="6">PD9+1</f>
        <v>44641</v>
      </c>
      <c r="PF9" s="157">
        <f t="shared" si="6"/>
        <v>44642</v>
      </c>
      <c r="PG9" s="157">
        <f t="shared" si="6"/>
        <v>44643</v>
      </c>
      <c r="PH9" s="157">
        <f t="shared" si="6"/>
        <v>44644</v>
      </c>
      <c r="PI9" s="157">
        <f t="shared" si="6"/>
        <v>44645</v>
      </c>
      <c r="PJ9" s="157">
        <f t="shared" si="6"/>
        <v>44646</v>
      </c>
      <c r="PK9" s="157">
        <f t="shared" si="6"/>
        <v>44647</v>
      </c>
      <c r="PL9" s="157">
        <f t="shared" si="6"/>
        <v>44648</v>
      </c>
      <c r="PM9" s="157">
        <f t="shared" si="6"/>
        <v>44649</v>
      </c>
      <c r="PN9" s="157">
        <f t="shared" si="6"/>
        <v>44650</v>
      </c>
      <c r="PO9" s="157">
        <f t="shared" si="6"/>
        <v>44651</v>
      </c>
      <c r="PP9" s="157">
        <f t="shared" si="6"/>
        <v>44652</v>
      </c>
      <c r="PQ9" s="157">
        <f t="shared" si="6"/>
        <v>44653</v>
      </c>
      <c r="PR9" s="157">
        <f t="shared" si="6"/>
        <v>44654</v>
      </c>
      <c r="PS9" s="157">
        <f t="shared" si="6"/>
        <v>44655</v>
      </c>
      <c r="PT9" s="157">
        <f t="shared" si="6"/>
        <v>44656</v>
      </c>
      <c r="PU9" s="157">
        <f t="shared" si="6"/>
        <v>44657</v>
      </c>
      <c r="PV9" s="157">
        <f t="shared" si="6"/>
        <v>44658</v>
      </c>
      <c r="PW9" s="157">
        <f t="shared" si="6"/>
        <v>44659</v>
      </c>
      <c r="PX9" s="157">
        <f t="shared" si="6"/>
        <v>44660</v>
      </c>
      <c r="PY9" s="157">
        <f t="shared" si="6"/>
        <v>44661</v>
      </c>
      <c r="PZ9" s="157">
        <f t="shared" si="6"/>
        <v>44662</v>
      </c>
      <c r="QA9" s="157">
        <f t="shared" si="6"/>
        <v>44663</v>
      </c>
      <c r="QB9" s="157">
        <f t="shared" si="6"/>
        <v>44664</v>
      </c>
      <c r="QC9" s="157">
        <f t="shared" si="6"/>
        <v>44665</v>
      </c>
      <c r="QD9" s="157">
        <f t="shared" si="6"/>
        <v>44666</v>
      </c>
      <c r="QE9" s="157">
        <f t="shared" si="6"/>
        <v>44667</v>
      </c>
      <c r="QF9" s="157">
        <f t="shared" si="6"/>
        <v>44668</v>
      </c>
      <c r="QG9" s="157">
        <f t="shared" si="6"/>
        <v>44669</v>
      </c>
      <c r="QH9" s="157">
        <f t="shared" si="6"/>
        <v>44670</v>
      </c>
      <c r="QI9" s="157">
        <f t="shared" si="6"/>
        <v>44671</v>
      </c>
      <c r="QJ9" s="157">
        <f t="shared" si="6"/>
        <v>44672</v>
      </c>
      <c r="QK9" s="157">
        <f t="shared" si="6"/>
        <v>44673</v>
      </c>
      <c r="QL9" s="157">
        <f t="shared" si="6"/>
        <v>44674</v>
      </c>
      <c r="QM9" s="157">
        <f t="shared" si="6"/>
        <v>44675</v>
      </c>
      <c r="QN9" s="157">
        <f t="shared" si="6"/>
        <v>44676</v>
      </c>
      <c r="QO9" s="157">
        <f t="shared" si="6"/>
        <v>44677</v>
      </c>
      <c r="QP9" s="157">
        <f t="shared" si="6"/>
        <v>44678</v>
      </c>
      <c r="QQ9" s="157">
        <f t="shared" si="6"/>
        <v>44679</v>
      </c>
      <c r="QR9" s="157">
        <f t="shared" si="6"/>
        <v>44680</v>
      </c>
      <c r="QS9" s="157">
        <f t="shared" si="6"/>
        <v>44681</v>
      </c>
      <c r="QT9" s="157">
        <f t="shared" si="6"/>
        <v>44682</v>
      </c>
      <c r="QU9" s="157">
        <f t="shared" si="6"/>
        <v>44683</v>
      </c>
      <c r="QV9" s="157">
        <f t="shared" si="6"/>
        <v>44684</v>
      </c>
      <c r="QW9" s="157">
        <f t="shared" si="6"/>
        <v>44685</v>
      </c>
      <c r="QX9" s="157">
        <f t="shared" si="6"/>
        <v>44686</v>
      </c>
      <c r="QY9" s="157">
        <f t="shared" si="6"/>
        <v>44687</v>
      </c>
      <c r="QZ9" s="157">
        <f t="shared" si="6"/>
        <v>44688</v>
      </c>
      <c r="RA9" s="157">
        <f t="shared" si="6"/>
        <v>44689</v>
      </c>
      <c r="RB9" s="157">
        <f t="shared" si="6"/>
        <v>44690</v>
      </c>
      <c r="RC9" s="157">
        <f t="shared" si="6"/>
        <v>44691</v>
      </c>
      <c r="RD9" s="157">
        <f t="shared" si="6"/>
        <v>44692</v>
      </c>
      <c r="RE9" s="157">
        <f t="shared" si="6"/>
        <v>44693</v>
      </c>
      <c r="RF9" s="157">
        <f t="shared" si="6"/>
        <v>44694</v>
      </c>
      <c r="RG9" s="157">
        <f t="shared" si="6"/>
        <v>44695</v>
      </c>
      <c r="RH9" s="157">
        <f t="shared" si="6"/>
        <v>44696</v>
      </c>
      <c r="RI9" s="157">
        <f t="shared" si="6"/>
        <v>44697</v>
      </c>
      <c r="RJ9" s="157">
        <f t="shared" si="6"/>
        <v>44698</v>
      </c>
      <c r="RK9" s="157">
        <f t="shared" si="6"/>
        <v>44699</v>
      </c>
      <c r="RL9" s="157">
        <f t="shared" si="6"/>
        <v>44700</v>
      </c>
      <c r="RM9" s="157">
        <f t="shared" si="6"/>
        <v>44701</v>
      </c>
      <c r="RN9" s="157">
        <f t="shared" si="6"/>
        <v>44702</v>
      </c>
      <c r="RO9" s="157">
        <f t="shared" si="6"/>
        <v>44703</v>
      </c>
      <c r="RP9" s="157">
        <f t="shared" si="6"/>
        <v>44704</v>
      </c>
      <c r="RQ9" s="157">
        <f t="shared" ref="RQ9:UB9" si="7">RP9+1</f>
        <v>44705</v>
      </c>
      <c r="RR9" s="157">
        <f t="shared" si="7"/>
        <v>44706</v>
      </c>
      <c r="RS9" s="157">
        <f t="shared" si="7"/>
        <v>44707</v>
      </c>
      <c r="RT9" s="157">
        <f t="shared" si="7"/>
        <v>44708</v>
      </c>
      <c r="RU9" s="157">
        <f t="shared" si="7"/>
        <v>44709</v>
      </c>
      <c r="RV9" s="157">
        <f t="shared" si="7"/>
        <v>44710</v>
      </c>
      <c r="RW9" s="157">
        <f t="shared" si="7"/>
        <v>44711</v>
      </c>
      <c r="RX9" s="157">
        <f t="shared" si="7"/>
        <v>44712</v>
      </c>
      <c r="RY9" s="157">
        <f t="shared" si="7"/>
        <v>44713</v>
      </c>
      <c r="RZ9" s="157">
        <f t="shared" si="7"/>
        <v>44714</v>
      </c>
      <c r="SA9" s="157">
        <f t="shared" si="7"/>
        <v>44715</v>
      </c>
      <c r="SB9" s="157">
        <f t="shared" si="7"/>
        <v>44716</v>
      </c>
      <c r="SC9" s="157">
        <f t="shared" si="7"/>
        <v>44717</v>
      </c>
      <c r="SD9" s="157">
        <f t="shared" si="7"/>
        <v>44718</v>
      </c>
      <c r="SE9" s="157">
        <f t="shared" si="7"/>
        <v>44719</v>
      </c>
      <c r="SF9" s="157">
        <f t="shared" si="7"/>
        <v>44720</v>
      </c>
      <c r="SG9" s="157">
        <f t="shared" si="7"/>
        <v>44721</v>
      </c>
      <c r="SH9" s="157">
        <f t="shared" si="7"/>
        <v>44722</v>
      </c>
      <c r="SI9" s="157">
        <f t="shared" si="7"/>
        <v>44723</v>
      </c>
      <c r="SJ9" s="157">
        <f t="shared" si="7"/>
        <v>44724</v>
      </c>
      <c r="SK9" s="157">
        <f t="shared" si="7"/>
        <v>44725</v>
      </c>
      <c r="SL9" s="157">
        <f t="shared" si="7"/>
        <v>44726</v>
      </c>
      <c r="SM9" s="157">
        <f t="shared" si="7"/>
        <v>44727</v>
      </c>
      <c r="SN9" s="157">
        <f t="shared" si="7"/>
        <v>44728</v>
      </c>
      <c r="SO9" s="157">
        <f t="shared" si="7"/>
        <v>44729</v>
      </c>
      <c r="SP9" s="157">
        <f t="shared" si="7"/>
        <v>44730</v>
      </c>
      <c r="SQ9" s="157">
        <f t="shared" si="7"/>
        <v>44731</v>
      </c>
      <c r="SR9" s="157">
        <f t="shared" si="7"/>
        <v>44732</v>
      </c>
      <c r="SS9" s="157">
        <f t="shared" si="7"/>
        <v>44733</v>
      </c>
      <c r="ST9" s="157">
        <f t="shared" si="7"/>
        <v>44734</v>
      </c>
      <c r="SU9" s="157">
        <f t="shared" si="7"/>
        <v>44735</v>
      </c>
      <c r="SV9" s="157">
        <f t="shared" si="7"/>
        <v>44736</v>
      </c>
      <c r="SW9" s="157">
        <f t="shared" si="7"/>
        <v>44737</v>
      </c>
      <c r="SX9" s="157">
        <f t="shared" si="7"/>
        <v>44738</v>
      </c>
      <c r="SY9" s="157">
        <f t="shared" si="7"/>
        <v>44739</v>
      </c>
      <c r="SZ9" s="157">
        <f t="shared" si="7"/>
        <v>44740</v>
      </c>
      <c r="TA9" s="157">
        <f t="shared" si="7"/>
        <v>44741</v>
      </c>
      <c r="TB9" s="157">
        <f t="shared" si="7"/>
        <v>44742</v>
      </c>
      <c r="TC9" s="157">
        <f t="shared" si="7"/>
        <v>44743</v>
      </c>
      <c r="TD9" s="157">
        <f t="shared" si="7"/>
        <v>44744</v>
      </c>
      <c r="TE9" s="157">
        <f t="shared" si="7"/>
        <v>44745</v>
      </c>
      <c r="TF9" s="157">
        <f t="shared" si="7"/>
        <v>44746</v>
      </c>
      <c r="TG9" s="157">
        <f t="shared" si="7"/>
        <v>44747</v>
      </c>
      <c r="TH9" s="157">
        <f t="shared" si="7"/>
        <v>44748</v>
      </c>
      <c r="TI9" s="157">
        <f t="shared" si="7"/>
        <v>44749</v>
      </c>
      <c r="TJ9" s="157">
        <f t="shared" si="7"/>
        <v>44750</v>
      </c>
      <c r="TK9" s="157">
        <f t="shared" si="7"/>
        <v>44751</v>
      </c>
      <c r="TL9" s="157">
        <f t="shared" si="7"/>
        <v>44752</v>
      </c>
      <c r="TM9" s="157">
        <f t="shared" si="7"/>
        <v>44753</v>
      </c>
      <c r="TN9" s="157">
        <f t="shared" si="7"/>
        <v>44754</v>
      </c>
      <c r="TO9" s="157">
        <f t="shared" si="7"/>
        <v>44755</v>
      </c>
      <c r="TP9" s="157">
        <f t="shared" si="7"/>
        <v>44756</v>
      </c>
      <c r="TQ9" s="157">
        <f t="shared" si="7"/>
        <v>44757</v>
      </c>
      <c r="TR9" s="157">
        <f t="shared" si="7"/>
        <v>44758</v>
      </c>
      <c r="TS9" s="157">
        <f t="shared" si="7"/>
        <v>44759</v>
      </c>
      <c r="TT9" s="157">
        <f t="shared" si="7"/>
        <v>44760</v>
      </c>
      <c r="TU9" s="157">
        <f t="shared" si="7"/>
        <v>44761</v>
      </c>
      <c r="TV9" s="157">
        <f t="shared" si="7"/>
        <v>44762</v>
      </c>
      <c r="TW9" s="157">
        <f t="shared" si="7"/>
        <v>44763</v>
      </c>
      <c r="TX9" s="157">
        <f t="shared" si="7"/>
        <v>44764</v>
      </c>
      <c r="TY9" s="157">
        <f t="shared" si="7"/>
        <v>44765</v>
      </c>
      <c r="TZ9" s="157">
        <f t="shared" si="7"/>
        <v>44766</v>
      </c>
      <c r="UA9" s="157">
        <f t="shared" si="7"/>
        <v>44767</v>
      </c>
      <c r="UB9" s="157">
        <f t="shared" si="7"/>
        <v>44768</v>
      </c>
      <c r="UC9" s="157">
        <f t="shared" ref="UC9:UM9" si="8">UB9+1</f>
        <v>44769</v>
      </c>
      <c r="UD9" s="157">
        <f t="shared" si="8"/>
        <v>44770</v>
      </c>
      <c r="UE9" s="157">
        <f t="shared" si="8"/>
        <v>44771</v>
      </c>
      <c r="UF9" s="157">
        <f t="shared" si="8"/>
        <v>44772</v>
      </c>
      <c r="UG9" s="157">
        <f t="shared" si="8"/>
        <v>44773</v>
      </c>
      <c r="UH9" s="157">
        <f t="shared" si="8"/>
        <v>44774</v>
      </c>
      <c r="UI9" s="157">
        <f t="shared" si="8"/>
        <v>44775</v>
      </c>
      <c r="UJ9" s="157">
        <f t="shared" si="8"/>
        <v>44776</v>
      </c>
      <c r="UK9" s="157">
        <f t="shared" si="8"/>
        <v>44777</v>
      </c>
      <c r="UL9" s="157">
        <f t="shared" si="8"/>
        <v>44778</v>
      </c>
      <c r="UM9" s="157">
        <f t="shared" si="8"/>
        <v>44779</v>
      </c>
    </row>
    <row r="10" spans="1:565" s="133" customFormat="1" ht="15.75" customHeight="1">
      <c r="A10" s="118"/>
      <c r="B10" s="118"/>
      <c r="C10" s="118"/>
      <c r="D10" s="118"/>
      <c r="E10" s="118"/>
      <c r="F10" s="41"/>
      <c r="G10" s="119"/>
      <c r="H10" s="118"/>
      <c r="I10" s="118"/>
      <c r="J10" s="249"/>
      <c r="K10" s="120"/>
      <c r="L10" s="121"/>
      <c r="M10" s="120"/>
      <c r="N10" s="120"/>
      <c r="O10" s="120"/>
      <c r="P10" s="120"/>
      <c r="Q10" s="120"/>
      <c r="R10" s="120"/>
      <c r="S10" s="120"/>
      <c r="T10" s="120"/>
      <c r="U10" s="120"/>
      <c r="V10" s="120"/>
      <c r="W10" s="122"/>
      <c r="X10" s="123"/>
      <c r="Y10" s="124"/>
      <c r="Z10" s="124"/>
      <c r="AA10" s="124"/>
      <c r="AB10" s="124"/>
      <c r="AC10" s="124"/>
      <c r="AD10" s="125"/>
      <c r="AE10" s="125"/>
      <c r="AF10" s="125"/>
      <c r="AG10" s="125"/>
      <c r="AH10" s="125"/>
      <c r="AI10" s="125"/>
      <c r="AJ10" s="332">
        <f t="shared" ref="AJ10:CU10" si="9">IF(DAY(AJ18)=1,AJ18,IF(AJ9=Red_Bookmark,"TODAY",""))</f>
        <v>44256</v>
      </c>
      <c r="AK10" s="332" t="str">
        <f t="shared" si="9"/>
        <v/>
      </c>
      <c r="AL10" s="332" t="str">
        <f t="shared" si="9"/>
        <v/>
      </c>
      <c r="AM10" s="332" t="str">
        <f t="shared" si="9"/>
        <v/>
      </c>
      <c r="AN10" s="332" t="str">
        <f t="shared" si="9"/>
        <v/>
      </c>
      <c r="AO10" s="332" t="str">
        <f t="shared" si="9"/>
        <v/>
      </c>
      <c r="AP10" s="332" t="str">
        <f t="shared" si="9"/>
        <v/>
      </c>
      <c r="AQ10" s="332" t="str">
        <f t="shared" si="9"/>
        <v/>
      </c>
      <c r="AR10" s="332" t="str">
        <f t="shared" si="9"/>
        <v/>
      </c>
      <c r="AS10" s="332" t="str">
        <f t="shared" si="9"/>
        <v/>
      </c>
      <c r="AT10" s="332" t="str">
        <f t="shared" si="9"/>
        <v/>
      </c>
      <c r="AU10" s="332" t="str">
        <f t="shared" si="9"/>
        <v/>
      </c>
      <c r="AV10" s="332" t="str">
        <f t="shared" si="9"/>
        <v/>
      </c>
      <c r="AW10" s="332" t="str">
        <f t="shared" si="9"/>
        <v/>
      </c>
      <c r="AX10" s="332" t="str">
        <f t="shared" si="9"/>
        <v/>
      </c>
      <c r="AY10" s="332" t="str">
        <f t="shared" si="9"/>
        <v/>
      </c>
      <c r="AZ10" s="332" t="str">
        <f t="shared" si="9"/>
        <v/>
      </c>
      <c r="BA10" s="332" t="str">
        <f t="shared" si="9"/>
        <v/>
      </c>
      <c r="BB10" s="332" t="str">
        <f t="shared" si="9"/>
        <v/>
      </c>
      <c r="BC10" s="332" t="str">
        <f t="shared" si="9"/>
        <v/>
      </c>
      <c r="BD10" s="332" t="str">
        <f t="shared" si="9"/>
        <v/>
      </c>
      <c r="BE10" s="332" t="str">
        <f t="shared" si="9"/>
        <v/>
      </c>
      <c r="BF10" s="332" t="str">
        <f t="shared" si="9"/>
        <v/>
      </c>
      <c r="BG10" s="332" t="str">
        <f t="shared" si="9"/>
        <v/>
      </c>
      <c r="BH10" s="332" t="str">
        <f t="shared" si="9"/>
        <v/>
      </c>
      <c r="BI10" s="332" t="str">
        <f t="shared" si="9"/>
        <v/>
      </c>
      <c r="BJ10" s="332" t="str">
        <f t="shared" si="9"/>
        <v/>
      </c>
      <c r="BK10" s="332" t="str">
        <f t="shared" si="9"/>
        <v/>
      </c>
      <c r="BL10" s="332" t="str">
        <f t="shared" si="9"/>
        <v/>
      </c>
      <c r="BM10" s="332" t="str">
        <f t="shared" si="9"/>
        <v/>
      </c>
      <c r="BN10" s="332" t="str">
        <f t="shared" si="9"/>
        <v/>
      </c>
      <c r="BO10" s="332">
        <f t="shared" si="9"/>
        <v>44287</v>
      </c>
      <c r="BP10" s="332" t="str">
        <f t="shared" si="9"/>
        <v/>
      </c>
      <c r="BQ10" s="332" t="str">
        <f t="shared" si="9"/>
        <v/>
      </c>
      <c r="BR10" s="332" t="str">
        <f t="shared" si="9"/>
        <v/>
      </c>
      <c r="BS10" s="332" t="str">
        <f t="shared" si="9"/>
        <v/>
      </c>
      <c r="BT10" s="332" t="str">
        <f t="shared" si="9"/>
        <v/>
      </c>
      <c r="BU10" s="332" t="str">
        <f t="shared" si="9"/>
        <v/>
      </c>
      <c r="BV10" s="332" t="str">
        <f t="shared" si="9"/>
        <v/>
      </c>
      <c r="BW10" s="332" t="str">
        <f t="shared" si="9"/>
        <v/>
      </c>
      <c r="BX10" s="332" t="str">
        <f t="shared" si="9"/>
        <v/>
      </c>
      <c r="BY10" s="332" t="str">
        <f t="shared" si="9"/>
        <v/>
      </c>
      <c r="BZ10" s="332" t="str">
        <f t="shared" si="9"/>
        <v/>
      </c>
      <c r="CA10" s="332" t="str">
        <f t="shared" si="9"/>
        <v/>
      </c>
      <c r="CB10" s="332" t="str">
        <f t="shared" si="9"/>
        <v/>
      </c>
      <c r="CC10" s="332" t="str">
        <f t="shared" si="9"/>
        <v/>
      </c>
      <c r="CD10" s="332" t="str">
        <f t="shared" si="9"/>
        <v/>
      </c>
      <c r="CE10" s="332" t="str">
        <f t="shared" si="9"/>
        <v/>
      </c>
      <c r="CF10" s="332" t="str">
        <f t="shared" si="9"/>
        <v/>
      </c>
      <c r="CG10" s="332" t="str">
        <f t="shared" si="9"/>
        <v/>
      </c>
      <c r="CH10" s="332" t="str">
        <f t="shared" si="9"/>
        <v/>
      </c>
      <c r="CI10" s="332" t="str">
        <f t="shared" si="9"/>
        <v>TODAY</v>
      </c>
      <c r="CJ10" s="332" t="str">
        <f t="shared" si="9"/>
        <v/>
      </c>
      <c r="CK10" s="332" t="str">
        <f t="shared" si="9"/>
        <v/>
      </c>
      <c r="CL10" s="332" t="str">
        <f t="shared" si="9"/>
        <v/>
      </c>
      <c r="CM10" s="332" t="str">
        <f t="shared" si="9"/>
        <v/>
      </c>
      <c r="CN10" s="332" t="str">
        <f t="shared" si="9"/>
        <v/>
      </c>
      <c r="CO10" s="332" t="str">
        <f t="shared" si="9"/>
        <v/>
      </c>
      <c r="CP10" s="332" t="str">
        <f t="shared" si="9"/>
        <v/>
      </c>
      <c r="CQ10" s="332" t="str">
        <f t="shared" si="9"/>
        <v/>
      </c>
      <c r="CR10" s="332" t="str">
        <f t="shared" si="9"/>
        <v/>
      </c>
      <c r="CS10" s="332">
        <f t="shared" si="9"/>
        <v>44317</v>
      </c>
      <c r="CT10" s="332" t="str">
        <f t="shared" si="9"/>
        <v/>
      </c>
      <c r="CU10" s="332" t="str">
        <f t="shared" si="9"/>
        <v/>
      </c>
      <c r="CV10" s="332" t="str">
        <f t="shared" ref="CV10:FG10" si="10">IF(DAY(CV18)=1,CV18,IF(CV9=Red_Bookmark,"TODAY",""))</f>
        <v/>
      </c>
      <c r="CW10" s="332" t="str">
        <f t="shared" si="10"/>
        <v/>
      </c>
      <c r="CX10" s="332" t="str">
        <f t="shared" si="10"/>
        <v/>
      </c>
      <c r="CY10" s="332" t="str">
        <f t="shared" si="10"/>
        <v/>
      </c>
      <c r="CZ10" s="332" t="str">
        <f t="shared" si="10"/>
        <v/>
      </c>
      <c r="DA10" s="332" t="str">
        <f t="shared" si="10"/>
        <v/>
      </c>
      <c r="DB10" s="332" t="str">
        <f t="shared" si="10"/>
        <v/>
      </c>
      <c r="DC10" s="332" t="str">
        <f t="shared" si="10"/>
        <v/>
      </c>
      <c r="DD10" s="332" t="str">
        <f t="shared" si="10"/>
        <v/>
      </c>
      <c r="DE10" s="332" t="str">
        <f t="shared" si="10"/>
        <v/>
      </c>
      <c r="DF10" s="332" t="str">
        <f t="shared" si="10"/>
        <v/>
      </c>
      <c r="DG10" s="332" t="str">
        <f t="shared" si="10"/>
        <v/>
      </c>
      <c r="DH10" s="332" t="str">
        <f t="shared" si="10"/>
        <v/>
      </c>
      <c r="DI10" s="332" t="str">
        <f t="shared" si="10"/>
        <v/>
      </c>
      <c r="DJ10" s="332" t="str">
        <f t="shared" si="10"/>
        <v/>
      </c>
      <c r="DK10" s="332" t="str">
        <f t="shared" si="10"/>
        <v/>
      </c>
      <c r="DL10" s="332" t="str">
        <f t="shared" si="10"/>
        <v/>
      </c>
      <c r="DM10" s="332" t="str">
        <f t="shared" si="10"/>
        <v/>
      </c>
      <c r="DN10" s="332" t="str">
        <f t="shared" si="10"/>
        <v/>
      </c>
      <c r="DO10" s="332" t="str">
        <f t="shared" si="10"/>
        <v/>
      </c>
      <c r="DP10" s="332" t="str">
        <f t="shared" si="10"/>
        <v/>
      </c>
      <c r="DQ10" s="332" t="str">
        <f t="shared" si="10"/>
        <v/>
      </c>
      <c r="DR10" s="332" t="str">
        <f t="shared" si="10"/>
        <v/>
      </c>
      <c r="DS10" s="332" t="str">
        <f t="shared" si="10"/>
        <v/>
      </c>
      <c r="DT10" s="332" t="str">
        <f t="shared" si="10"/>
        <v/>
      </c>
      <c r="DU10" s="332" t="str">
        <f t="shared" si="10"/>
        <v/>
      </c>
      <c r="DV10" s="332" t="str">
        <f t="shared" si="10"/>
        <v/>
      </c>
      <c r="DW10" s="332" t="str">
        <f t="shared" si="10"/>
        <v/>
      </c>
      <c r="DX10" s="332">
        <f t="shared" si="10"/>
        <v>44348</v>
      </c>
      <c r="DY10" s="332" t="str">
        <f t="shared" si="10"/>
        <v/>
      </c>
      <c r="DZ10" s="332" t="str">
        <f t="shared" si="10"/>
        <v/>
      </c>
      <c r="EA10" s="332" t="str">
        <f t="shared" si="10"/>
        <v/>
      </c>
      <c r="EB10" s="332" t="str">
        <f t="shared" si="10"/>
        <v/>
      </c>
      <c r="EC10" s="332" t="str">
        <f t="shared" si="10"/>
        <v/>
      </c>
      <c r="ED10" s="332" t="str">
        <f t="shared" si="10"/>
        <v/>
      </c>
      <c r="EE10" s="332" t="str">
        <f t="shared" si="10"/>
        <v/>
      </c>
      <c r="EF10" s="332" t="str">
        <f t="shared" si="10"/>
        <v/>
      </c>
      <c r="EG10" s="332" t="str">
        <f t="shared" si="10"/>
        <v/>
      </c>
      <c r="EH10" s="332" t="str">
        <f t="shared" si="10"/>
        <v/>
      </c>
      <c r="EI10" s="332" t="str">
        <f t="shared" si="10"/>
        <v/>
      </c>
      <c r="EJ10" s="332" t="str">
        <f t="shared" si="10"/>
        <v/>
      </c>
      <c r="EK10" s="332" t="str">
        <f t="shared" si="10"/>
        <v/>
      </c>
      <c r="EL10" s="332" t="str">
        <f t="shared" si="10"/>
        <v/>
      </c>
      <c r="EM10" s="332" t="str">
        <f t="shared" si="10"/>
        <v/>
      </c>
      <c r="EN10" s="332" t="str">
        <f t="shared" si="10"/>
        <v/>
      </c>
      <c r="EO10" s="332" t="str">
        <f t="shared" si="10"/>
        <v/>
      </c>
      <c r="EP10" s="332" t="str">
        <f t="shared" si="10"/>
        <v/>
      </c>
      <c r="EQ10" s="332" t="str">
        <f t="shared" si="10"/>
        <v/>
      </c>
      <c r="ER10" s="332" t="str">
        <f t="shared" si="10"/>
        <v/>
      </c>
      <c r="ES10" s="332" t="str">
        <f t="shared" si="10"/>
        <v/>
      </c>
      <c r="ET10" s="332" t="str">
        <f t="shared" si="10"/>
        <v/>
      </c>
      <c r="EU10" s="332" t="str">
        <f t="shared" si="10"/>
        <v/>
      </c>
      <c r="EV10" s="332" t="str">
        <f t="shared" si="10"/>
        <v/>
      </c>
      <c r="EW10" s="332" t="str">
        <f t="shared" si="10"/>
        <v/>
      </c>
      <c r="EX10" s="332" t="str">
        <f t="shared" si="10"/>
        <v/>
      </c>
      <c r="EY10" s="332" t="str">
        <f t="shared" si="10"/>
        <v/>
      </c>
      <c r="EZ10" s="332" t="str">
        <f t="shared" si="10"/>
        <v/>
      </c>
      <c r="FA10" s="332" t="str">
        <f t="shared" si="10"/>
        <v/>
      </c>
      <c r="FB10" s="332">
        <f t="shared" si="10"/>
        <v>44378</v>
      </c>
      <c r="FC10" s="332" t="str">
        <f t="shared" si="10"/>
        <v/>
      </c>
      <c r="FD10" s="332" t="str">
        <f t="shared" si="10"/>
        <v/>
      </c>
      <c r="FE10" s="332" t="str">
        <f t="shared" si="10"/>
        <v/>
      </c>
      <c r="FF10" s="332" t="str">
        <f t="shared" si="10"/>
        <v/>
      </c>
      <c r="FG10" s="332" t="str">
        <f t="shared" si="10"/>
        <v/>
      </c>
      <c r="FH10" s="332" t="str">
        <f t="shared" ref="FH10:HS10" si="11">IF(DAY(FH18)=1,FH18,IF(FH9=Red_Bookmark,"TODAY",""))</f>
        <v/>
      </c>
      <c r="FI10" s="332" t="str">
        <f t="shared" si="11"/>
        <v/>
      </c>
      <c r="FJ10" s="332" t="str">
        <f t="shared" si="11"/>
        <v/>
      </c>
      <c r="FK10" s="332" t="str">
        <f t="shared" si="11"/>
        <v/>
      </c>
      <c r="FL10" s="332" t="str">
        <f t="shared" si="11"/>
        <v/>
      </c>
      <c r="FM10" s="332" t="str">
        <f t="shared" si="11"/>
        <v/>
      </c>
      <c r="FN10" s="332" t="str">
        <f t="shared" si="11"/>
        <v/>
      </c>
      <c r="FO10" s="332" t="str">
        <f t="shared" si="11"/>
        <v/>
      </c>
      <c r="FP10" s="332" t="str">
        <f t="shared" si="11"/>
        <v/>
      </c>
      <c r="FQ10" s="332" t="str">
        <f t="shared" si="11"/>
        <v/>
      </c>
      <c r="FR10" s="332" t="str">
        <f t="shared" si="11"/>
        <v/>
      </c>
      <c r="FS10" s="332" t="str">
        <f t="shared" si="11"/>
        <v/>
      </c>
      <c r="FT10" s="332" t="str">
        <f t="shared" si="11"/>
        <v/>
      </c>
      <c r="FU10" s="332" t="str">
        <f t="shared" si="11"/>
        <v/>
      </c>
      <c r="FV10" s="332" t="str">
        <f t="shared" si="11"/>
        <v/>
      </c>
      <c r="FW10" s="332" t="str">
        <f t="shared" si="11"/>
        <v/>
      </c>
      <c r="FX10" s="332" t="str">
        <f t="shared" si="11"/>
        <v/>
      </c>
      <c r="FY10" s="332" t="str">
        <f t="shared" si="11"/>
        <v/>
      </c>
      <c r="FZ10" s="332" t="str">
        <f t="shared" si="11"/>
        <v/>
      </c>
      <c r="GA10" s="332" t="str">
        <f t="shared" si="11"/>
        <v/>
      </c>
      <c r="GB10" s="332" t="str">
        <f t="shared" si="11"/>
        <v/>
      </c>
      <c r="GC10" s="332" t="str">
        <f t="shared" si="11"/>
        <v/>
      </c>
      <c r="GD10" s="332" t="str">
        <f t="shared" si="11"/>
        <v/>
      </c>
      <c r="GE10" s="332" t="str">
        <f t="shared" si="11"/>
        <v/>
      </c>
      <c r="GF10" s="332" t="str">
        <f t="shared" si="11"/>
        <v/>
      </c>
      <c r="GG10" s="332">
        <f t="shared" si="11"/>
        <v>44409</v>
      </c>
      <c r="GH10" s="332" t="str">
        <f t="shared" si="11"/>
        <v/>
      </c>
      <c r="GI10" s="332" t="str">
        <f t="shared" si="11"/>
        <v/>
      </c>
      <c r="GJ10" s="332" t="str">
        <f t="shared" si="11"/>
        <v/>
      </c>
      <c r="GK10" s="332" t="str">
        <f t="shared" si="11"/>
        <v/>
      </c>
      <c r="GL10" s="332" t="str">
        <f t="shared" si="11"/>
        <v/>
      </c>
      <c r="GM10" s="332" t="str">
        <f t="shared" si="11"/>
        <v/>
      </c>
      <c r="GN10" s="332" t="str">
        <f t="shared" si="11"/>
        <v/>
      </c>
      <c r="GO10" s="332" t="str">
        <f t="shared" si="11"/>
        <v/>
      </c>
      <c r="GP10" s="332" t="str">
        <f t="shared" si="11"/>
        <v/>
      </c>
      <c r="GQ10" s="332" t="str">
        <f t="shared" si="11"/>
        <v/>
      </c>
      <c r="GR10" s="332" t="str">
        <f t="shared" si="11"/>
        <v/>
      </c>
      <c r="GS10" s="332" t="str">
        <f t="shared" si="11"/>
        <v/>
      </c>
      <c r="GT10" s="332" t="str">
        <f t="shared" si="11"/>
        <v/>
      </c>
      <c r="GU10" s="332" t="str">
        <f t="shared" si="11"/>
        <v/>
      </c>
      <c r="GV10" s="332" t="str">
        <f t="shared" si="11"/>
        <v/>
      </c>
      <c r="GW10" s="332" t="str">
        <f t="shared" si="11"/>
        <v/>
      </c>
      <c r="GX10" s="332" t="str">
        <f t="shared" si="11"/>
        <v/>
      </c>
      <c r="GY10" s="332" t="str">
        <f t="shared" si="11"/>
        <v/>
      </c>
      <c r="GZ10" s="332" t="str">
        <f t="shared" si="11"/>
        <v/>
      </c>
      <c r="HA10" s="332" t="str">
        <f t="shared" si="11"/>
        <v/>
      </c>
      <c r="HB10" s="332" t="str">
        <f t="shared" si="11"/>
        <v/>
      </c>
      <c r="HC10" s="332" t="str">
        <f t="shared" si="11"/>
        <v/>
      </c>
      <c r="HD10" s="332" t="str">
        <f t="shared" si="11"/>
        <v/>
      </c>
      <c r="HE10" s="332" t="str">
        <f t="shared" si="11"/>
        <v/>
      </c>
      <c r="HF10" s="332" t="str">
        <f t="shared" si="11"/>
        <v/>
      </c>
      <c r="HG10" s="332" t="str">
        <f t="shared" si="11"/>
        <v/>
      </c>
      <c r="HH10" s="332" t="str">
        <f t="shared" si="11"/>
        <v/>
      </c>
      <c r="HI10" s="332" t="str">
        <f t="shared" si="11"/>
        <v/>
      </c>
      <c r="HJ10" s="332" t="str">
        <f t="shared" si="11"/>
        <v/>
      </c>
      <c r="HK10" s="332" t="str">
        <f t="shared" si="11"/>
        <v/>
      </c>
      <c r="HL10" s="332">
        <f t="shared" si="11"/>
        <v>44440</v>
      </c>
      <c r="HM10" s="332" t="str">
        <f t="shared" si="11"/>
        <v/>
      </c>
      <c r="HN10" s="332" t="str">
        <f t="shared" si="11"/>
        <v/>
      </c>
      <c r="HO10" s="332" t="str">
        <f t="shared" si="11"/>
        <v/>
      </c>
      <c r="HP10" s="332" t="str">
        <f t="shared" si="11"/>
        <v/>
      </c>
      <c r="HQ10" s="332" t="str">
        <f t="shared" si="11"/>
        <v/>
      </c>
      <c r="HR10" s="332" t="str">
        <f t="shared" si="11"/>
        <v/>
      </c>
      <c r="HS10" s="332" t="str">
        <f t="shared" si="11"/>
        <v/>
      </c>
      <c r="HT10" s="332" t="str">
        <f t="shared" ref="HT10:KE10" si="12">IF(DAY(HT18)=1,HT18,IF(HT9=Red_Bookmark,"TODAY",""))</f>
        <v/>
      </c>
      <c r="HU10" s="332" t="str">
        <f t="shared" si="12"/>
        <v/>
      </c>
      <c r="HV10" s="332" t="str">
        <f t="shared" si="12"/>
        <v/>
      </c>
      <c r="HW10" s="332" t="str">
        <f t="shared" si="12"/>
        <v/>
      </c>
      <c r="HX10" s="332" t="str">
        <f t="shared" si="12"/>
        <v/>
      </c>
      <c r="HY10" s="332" t="str">
        <f t="shared" si="12"/>
        <v/>
      </c>
      <c r="HZ10" s="332" t="str">
        <f t="shared" si="12"/>
        <v/>
      </c>
      <c r="IA10" s="332" t="str">
        <f t="shared" si="12"/>
        <v/>
      </c>
      <c r="IB10" s="332" t="str">
        <f t="shared" si="12"/>
        <v/>
      </c>
      <c r="IC10" s="332" t="str">
        <f t="shared" si="12"/>
        <v/>
      </c>
      <c r="ID10" s="332" t="str">
        <f t="shared" si="12"/>
        <v/>
      </c>
      <c r="IE10" s="332" t="str">
        <f t="shared" si="12"/>
        <v/>
      </c>
      <c r="IF10" s="332" t="str">
        <f t="shared" si="12"/>
        <v/>
      </c>
      <c r="IG10" s="332" t="str">
        <f t="shared" si="12"/>
        <v/>
      </c>
      <c r="IH10" s="332" t="str">
        <f t="shared" si="12"/>
        <v/>
      </c>
      <c r="II10" s="332" t="str">
        <f t="shared" si="12"/>
        <v/>
      </c>
      <c r="IJ10" s="332" t="str">
        <f t="shared" si="12"/>
        <v/>
      </c>
      <c r="IK10" s="332" t="str">
        <f t="shared" si="12"/>
        <v/>
      </c>
      <c r="IL10" s="332" t="str">
        <f t="shared" si="12"/>
        <v/>
      </c>
      <c r="IM10" s="332" t="str">
        <f t="shared" si="12"/>
        <v/>
      </c>
      <c r="IN10" s="332" t="str">
        <f t="shared" si="12"/>
        <v/>
      </c>
      <c r="IO10" s="332" t="str">
        <f t="shared" si="12"/>
        <v/>
      </c>
      <c r="IP10" s="332">
        <f t="shared" si="12"/>
        <v>44470</v>
      </c>
      <c r="IQ10" s="332" t="str">
        <f t="shared" si="12"/>
        <v/>
      </c>
      <c r="IR10" s="332" t="str">
        <f t="shared" si="12"/>
        <v/>
      </c>
      <c r="IS10" s="332" t="str">
        <f t="shared" si="12"/>
        <v/>
      </c>
      <c r="IT10" s="332" t="str">
        <f t="shared" si="12"/>
        <v/>
      </c>
      <c r="IU10" s="332" t="str">
        <f t="shared" si="12"/>
        <v/>
      </c>
      <c r="IV10" s="332" t="str">
        <f t="shared" si="12"/>
        <v/>
      </c>
      <c r="IW10" s="332" t="str">
        <f t="shared" si="12"/>
        <v/>
      </c>
      <c r="IX10" s="332" t="str">
        <f t="shared" si="12"/>
        <v/>
      </c>
      <c r="IY10" s="332" t="str">
        <f t="shared" si="12"/>
        <v/>
      </c>
      <c r="IZ10" s="332" t="str">
        <f t="shared" si="12"/>
        <v/>
      </c>
      <c r="JA10" s="332" t="str">
        <f t="shared" si="12"/>
        <v/>
      </c>
      <c r="JB10" s="332" t="str">
        <f t="shared" si="12"/>
        <v/>
      </c>
      <c r="JC10" s="332" t="str">
        <f t="shared" si="12"/>
        <v/>
      </c>
      <c r="JD10" s="332" t="str">
        <f t="shared" si="12"/>
        <v/>
      </c>
      <c r="JE10" s="332" t="str">
        <f t="shared" si="12"/>
        <v/>
      </c>
      <c r="JF10" s="332" t="str">
        <f t="shared" si="12"/>
        <v/>
      </c>
      <c r="JG10" s="332" t="str">
        <f t="shared" si="12"/>
        <v/>
      </c>
      <c r="JH10" s="332" t="str">
        <f t="shared" si="12"/>
        <v/>
      </c>
      <c r="JI10" s="332" t="str">
        <f t="shared" si="12"/>
        <v/>
      </c>
      <c r="JJ10" s="332" t="str">
        <f t="shared" si="12"/>
        <v/>
      </c>
      <c r="JK10" s="332" t="str">
        <f t="shared" si="12"/>
        <v/>
      </c>
      <c r="JL10" s="332" t="str">
        <f t="shared" si="12"/>
        <v/>
      </c>
      <c r="JM10" s="332" t="str">
        <f t="shared" si="12"/>
        <v/>
      </c>
      <c r="JN10" s="332" t="str">
        <f t="shared" si="12"/>
        <v/>
      </c>
      <c r="JO10" s="332" t="str">
        <f t="shared" si="12"/>
        <v/>
      </c>
      <c r="JP10" s="332" t="str">
        <f t="shared" si="12"/>
        <v/>
      </c>
      <c r="JQ10" s="332" t="str">
        <f t="shared" si="12"/>
        <v/>
      </c>
      <c r="JR10" s="332" t="str">
        <f t="shared" si="12"/>
        <v/>
      </c>
      <c r="JS10" s="332" t="str">
        <f t="shared" si="12"/>
        <v/>
      </c>
      <c r="JT10" s="332" t="str">
        <f t="shared" si="12"/>
        <v/>
      </c>
      <c r="JU10" s="332">
        <f t="shared" si="12"/>
        <v>44501</v>
      </c>
      <c r="JV10" s="332" t="str">
        <f t="shared" si="12"/>
        <v/>
      </c>
      <c r="JW10" s="332" t="str">
        <f t="shared" si="12"/>
        <v/>
      </c>
      <c r="JX10" s="332" t="str">
        <f t="shared" si="12"/>
        <v/>
      </c>
      <c r="JY10" s="332" t="str">
        <f t="shared" si="12"/>
        <v/>
      </c>
      <c r="JZ10" s="332" t="str">
        <f t="shared" si="12"/>
        <v/>
      </c>
      <c r="KA10" s="332" t="str">
        <f t="shared" si="12"/>
        <v/>
      </c>
      <c r="KB10" s="332" t="str">
        <f t="shared" si="12"/>
        <v/>
      </c>
      <c r="KC10" s="332" t="str">
        <f t="shared" si="12"/>
        <v/>
      </c>
      <c r="KD10" s="332" t="str">
        <f t="shared" si="12"/>
        <v/>
      </c>
      <c r="KE10" s="332" t="str">
        <f t="shared" si="12"/>
        <v/>
      </c>
      <c r="KF10" s="332" t="str">
        <f t="shared" ref="KF10:MQ10" si="13">IF(DAY(KF18)=1,KF18,IF(KF9=Red_Bookmark,"TODAY",""))</f>
        <v/>
      </c>
      <c r="KG10" s="332" t="str">
        <f t="shared" si="13"/>
        <v/>
      </c>
      <c r="KH10" s="332" t="str">
        <f t="shared" si="13"/>
        <v/>
      </c>
      <c r="KI10" s="332" t="str">
        <f t="shared" si="13"/>
        <v/>
      </c>
      <c r="KJ10" s="332" t="str">
        <f t="shared" si="13"/>
        <v/>
      </c>
      <c r="KK10" s="332" t="str">
        <f t="shared" si="13"/>
        <v/>
      </c>
      <c r="KL10" s="332" t="str">
        <f t="shared" si="13"/>
        <v/>
      </c>
      <c r="KM10" s="332" t="str">
        <f t="shared" si="13"/>
        <v/>
      </c>
      <c r="KN10" s="332" t="str">
        <f t="shared" si="13"/>
        <v/>
      </c>
      <c r="KO10" s="332" t="str">
        <f t="shared" si="13"/>
        <v/>
      </c>
      <c r="KP10" s="332" t="str">
        <f t="shared" si="13"/>
        <v/>
      </c>
      <c r="KQ10" s="332" t="str">
        <f t="shared" si="13"/>
        <v/>
      </c>
      <c r="KR10" s="332" t="str">
        <f t="shared" si="13"/>
        <v/>
      </c>
      <c r="KS10" s="332" t="str">
        <f t="shared" si="13"/>
        <v/>
      </c>
      <c r="KT10" s="332" t="str">
        <f t="shared" si="13"/>
        <v/>
      </c>
      <c r="KU10" s="332" t="str">
        <f t="shared" si="13"/>
        <v/>
      </c>
      <c r="KV10" s="332" t="str">
        <f t="shared" si="13"/>
        <v/>
      </c>
      <c r="KW10" s="332" t="str">
        <f t="shared" si="13"/>
        <v/>
      </c>
      <c r="KX10" s="332" t="str">
        <f t="shared" si="13"/>
        <v/>
      </c>
      <c r="KY10" s="332">
        <f t="shared" si="13"/>
        <v>44531</v>
      </c>
      <c r="KZ10" s="332" t="str">
        <f t="shared" si="13"/>
        <v/>
      </c>
      <c r="LA10" s="332" t="str">
        <f t="shared" si="13"/>
        <v/>
      </c>
      <c r="LB10" s="332" t="str">
        <f t="shared" si="13"/>
        <v/>
      </c>
      <c r="LC10" s="332" t="str">
        <f t="shared" si="13"/>
        <v/>
      </c>
      <c r="LD10" s="332" t="str">
        <f t="shared" si="13"/>
        <v/>
      </c>
      <c r="LE10" s="332" t="str">
        <f t="shared" si="13"/>
        <v/>
      </c>
      <c r="LF10" s="332" t="str">
        <f t="shared" si="13"/>
        <v/>
      </c>
      <c r="LG10" s="332" t="str">
        <f t="shared" si="13"/>
        <v/>
      </c>
      <c r="LH10" s="332" t="str">
        <f t="shared" si="13"/>
        <v/>
      </c>
      <c r="LI10" s="332" t="str">
        <f t="shared" si="13"/>
        <v/>
      </c>
      <c r="LJ10" s="332" t="str">
        <f t="shared" si="13"/>
        <v/>
      </c>
      <c r="LK10" s="332" t="str">
        <f t="shared" si="13"/>
        <v/>
      </c>
      <c r="LL10" s="332" t="str">
        <f t="shared" si="13"/>
        <v/>
      </c>
      <c r="LM10" s="332" t="str">
        <f t="shared" si="13"/>
        <v/>
      </c>
      <c r="LN10" s="332" t="str">
        <f t="shared" si="13"/>
        <v/>
      </c>
      <c r="LO10" s="332" t="str">
        <f t="shared" si="13"/>
        <v/>
      </c>
      <c r="LP10" s="332" t="str">
        <f t="shared" si="13"/>
        <v/>
      </c>
      <c r="LQ10" s="332" t="str">
        <f t="shared" si="13"/>
        <v/>
      </c>
      <c r="LR10" s="332" t="str">
        <f t="shared" si="13"/>
        <v/>
      </c>
      <c r="LS10" s="332" t="str">
        <f t="shared" si="13"/>
        <v/>
      </c>
      <c r="LT10" s="332" t="str">
        <f t="shared" si="13"/>
        <v/>
      </c>
      <c r="LU10" s="332" t="str">
        <f t="shared" si="13"/>
        <v/>
      </c>
      <c r="LV10" s="332" t="str">
        <f t="shared" si="13"/>
        <v/>
      </c>
      <c r="LW10" s="332" t="str">
        <f t="shared" si="13"/>
        <v/>
      </c>
      <c r="LX10" s="332" t="str">
        <f t="shared" si="13"/>
        <v/>
      </c>
      <c r="LY10" s="332" t="str">
        <f t="shared" si="13"/>
        <v/>
      </c>
      <c r="LZ10" s="332" t="str">
        <f t="shared" si="13"/>
        <v/>
      </c>
      <c r="MA10" s="332" t="str">
        <f t="shared" si="13"/>
        <v/>
      </c>
      <c r="MB10" s="332" t="str">
        <f t="shared" si="13"/>
        <v/>
      </c>
      <c r="MC10" s="332" t="str">
        <f t="shared" si="13"/>
        <v/>
      </c>
      <c r="MD10" s="332">
        <f t="shared" si="13"/>
        <v>44562</v>
      </c>
      <c r="ME10" s="332" t="str">
        <f t="shared" si="13"/>
        <v/>
      </c>
      <c r="MF10" s="332" t="str">
        <f t="shared" si="13"/>
        <v/>
      </c>
      <c r="MG10" s="332" t="str">
        <f t="shared" si="13"/>
        <v/>
      </c>
      <c r="MH10" s="332" t="str">
        <f t="shared" si="13"/>
        <v/>
      </c>
      <c r="MI10" s="332" t="str">
        <f t="shared" si="13"/>
        <v/>
      </c>
      <c r="MJ10" s="332" t="str">
        <f t="shared" si="13"/>
        <v/>
      </c>
      <c r="MK10" s="332" t="str">
        <f t="shared" si="13"/>
        <v/>
      </c>
      <c r="ML10" s="332" t="str">
        <f t="shared" si="13"/>
        <v/>
      </c>
      <c r="MM10" s="332" t="str">
        <f t="shared" si="13"/>
        <v/>
      </c>
      <c r="MN10" s="332" t="str">
        <f t="shared" si="13"/>
        <v/>
      </c>
      <c r="MO10" s="332" t="str">
        <f t="shared" si="13"/>
        <v/>
      </c>
      <c r="MP10" s="332" t="str">
        <f t="shared" si="13"/>
        <v/>
      </c>
      <c r="MQ10" s="332" t="str">
        <f t="shared" si="13"/>
        <v/>
      </c>
      <c r="MR10" s="332" t="str">
        <f t="shared" ref="MR10:PC10" si="14">IF(DAY(MR18)=1,MR18,IF(MR9=Red_Bookmark,"TODAY",""))</f>
        <v/>
      </c>
      <c r="MS10" s="332" t="str">
        <f t="shared" si="14"/>
        <v/>
      </c>
      <c r="MT10" s="332" t="str">
        <f t="shared" si="14"/>
        <v/>
      </c>
      <c r="MU10" s="332" t="str">
        <f t="shared" si="14"/>
        <v/>
      </c>
      <c r="MV10" s="332" t="str">
        <f t="shared" si="14"/>
        <v/>
      </c>
      <c r="MW10" s="332" t="str">
        <f t="shared" si="14"/>
        <v/>
      </c>
      <c r="MX10" s="332" t="str">
        <f t="shared" si="14"/>
        <v/>
      </c>
      <c r="MY10" s="332" t="str">
        <f t="shared" si="14"/>
        <v/>
      </c>
      <c r="MZ10" s="332" t="str">
        <f t="shared" si="14"/>
        <v/>
      </c>
      <c r="NA10" s="332" t="str">
        <f t="shared" si="14"/>
        <v/>
      </c>
      <c r="NB10" s="332" t="str">
        <f t="shared" si="14"/>
        <v/>
      </c>
      <c r="NC10" s="332" t="str">
        <f t="shared" si="14"/>
        <v/>
      </c>
      <c r="ND10" s="332" t="str">
        <f t="shared" si="14"/>
        <v/>
      </c>
      <c r="NE10" s="332" t="str">
        <f t="shared" si="14"/>
        <v/>
      </c>
      <c r="NF10" s="332" t="str">
        <f t="shared" si="14"/>
        <v/>
      </c>
      <c r="NG10" s="332" t="str">
        <f t="shared" si="14"/>
        <v/>
      </c>
      <c r="NH10" s="332" t="str">
        <f t="shared" si="14"/>
        <v/>
      </c>
      <c r="NI10" s="332">
        <f t="shared" si="14"/>
        <v>44593</v>
      </c>
      <c r="NJ10" s="332" t="str">
        <f t="shared" si="14"/>
        <v/>
      </c>
      <c r="NK10" s="332" t="str">
        <f t="shared" si="14"/>
        <v/>
      </c>
      <c r="NL10" s="332" t="str">
        <f t="shared" si="14"/>
        <v/>
      </c>
      <c r="NM10" s="332" t="str">
        <f t="shared" si="14"/>
        <v/>
      </c>
      <c r="NN10" s="332" t="str">
        <f t="shared" si="14"/>
        <v/>
      </c>
      <c r="NO10" s="332" t="str">
        <f t="shared" si="14"/>
        <v/>
      </c>
      <c r="NP10" s="332" t="str">
        <f t="shared" si="14"/>
        <v/>
      </c>
      <c r="NQ10" s="332" t="str">
        <f t="shared" si="14"/>
        <v/>
      </c>
      <c r="NR10" s="332" t="str">
        <f t="shared" si="14"/>
        <v/>
      </c>
      <c r="NS10" s="332" t="str">
        <f t="shared" si="14"/>
        <v/>
      </c>
      <c r="NT10" s="332" t="str">
        <f t="shared" si="14"/>
        <v/>
      </c>
      <c r="NU10" s="332" t="str">
        <f t="shared" si="14"/>
        <v/>
      </c>
      <c r="NV10" s="332" t="str">
        <f t="shared" si="14"/>
        <v/>
      </c>
      <c r="NW10" s="332" t="str">
        <f t="shared" si="14"/>
        <v/>
      </c>
      <c r="NX10" s="332" t="str">
        <f t="shared" si="14"/>
        <v/>
      </c>
      <c r="NY10" s="332" t="str">
        <f t="shared" si="14"/>
        <v/>
      </c>
      <c r="NZ10" s="332" t="str">
        <f t="shared" si="14"/>
        <v/>
      </c>
      <c r="OA10" s="332" t="str">
        <f t="shared" si="14"/>
        <v/>
      </c>
      <c r="OB10" s="332" t="str">
        <f t="shared" si="14"/>
        <v/>
      </c>
      <c r="OC10" s="332" t="str">
        <f t="shared" si="14"/>
        <v/>
      </c>
      <c r="OD10" s="332" t="str">
        <f t="shared" si="14"/>
        <v/>
      </c>
      <c r="OE10" s="332" t="str">
        <f t="shared" si="14"/>
        <v/>
      </c>
      <c r="OF10" s="332" t="str">
        <f t="shared" si="14"/>
        <v/>
      </c>
      <c r="OG10" s="332" t="str">
        <f t="shared" si="14"/>
        <v/>
      </c>
      <c r="OH10" s="332" t="str">
        <f t="shared" si="14"/>
        <v/>
      </c>
      <c r="OI10" s="332" t="str">
        <f t="shared" si="14"/>
        <v/>
      </c>
      <c r="OJ10" s="332" t="str">
        <f t="shared" si="14"/>
        <v/>
      </c>
      <c r="OK10" s="332">
        <f t="shared" si="14"/>
        <v>44621</v>
      </c>
      <c r="OL10" s="332" t="str">
        <f t="shared" si="14"/>
        <v/>
      </c>
      <c r="OM10" s="332" t="str">
        <f t="shared" si="14"/>
        <v/>
      </c>
      <c r="ON10" s="332" t="str">
        <f t="shared" si="14"/>
        <v/>
      </c>
      <c r="OO10" s="332" t="str">
        <f t="shared" si="14"/>
        <v/>
      </c>
      <c r="OP10" s="332" t="str">
        <f t="shared" si="14"/>
        <v/>
      </c>
      <c r="OQ10" s="332" t="str">
        <f t="shared" si="14"/>
        <v/>
      </c>
      <c r="OR10" s="332" t="str">
        <f t="shared" si="14"/>
        <v/>
      </c>
      <c r="OS10" s="332" t="str">
        <f t="shared" si="14"/>
        <v/>
      </c>
      <c r="OT10" s="332" t="str">
        <f t="shared" si="14"/>
        <v/>
      </c>
      <c r="OU10" s="332" t="str">
        <f t="shared" si="14"/>
        <v/>
      </c>
      <c r="OV10" s="332" t="str">
        <f t="shared" si="14"/>
        <v/>
      </c>
      <c r="OW10" s="332" t="str">
        <f t="shared" si="14"/>
        <v/>
      </c>
      <c r="OX10" s="332" t="str">
        <f t="shared" si="14"/>
        <v/>
      </c>
      <c r="OY10" s="332" t="str">
        <f t="shared" si="14"/>
        <v/>
      </c>
      <c r="OZ10" s="332" t="str">
        <f t="shared" si="14"/>
        <v/>
      </c>
      <c r="PA10" s="332" t="str">
        <f t="shared" si="14"/>
        <v/>
      </c>
      <c r="PB10" s="332" t="str">
        <f t="shared" si="14"/>
        <v/>
      </c>
      <c r="PC10" s="332" t="str">
        <f t="shared" si="14"/>
        <v/>
      </c>
      <c r="PD10" s="332" t="str">
        <f t="shared" ref="PD10:RO10" si="15">IF(DAY(PD18)=1,PD18,IF(PD9=Red_Bookmark,"TODAY",""))</f>
        <v/>
      </c>
      <c r="PE10" s="332" t="str">
        <f t="shared" si="15"/>
        <v/>
      </c>
      <c r="PF10" s="332" t="str">
        <f t="shared" si="15"/>
        <v/>
      </c>
      <c r="PG10" s="332" t="str">
        <f t="shared" si="15"/>
        <v/>
      </c>
      <c r="PH10" s="332" t="str">
        <f t="shared" si="15"/>
        <v/>
      </c>
      <c r="PI10" s="332" t="str">
        <f t="shared" si="15"/>
        <v/>
      </c>
      <c r="PJ10" s="332" t="str">
        <f t="shared" si="15"/>
        <v/>
      </c>
      <c r="PK10" s="332" t="str">
        <f t="shared" si="15"/>
        <v/>
      </c>
      <c r="PL10" s="332" t="str">
        <f t="shared" si="15"/>
        <v/>
      </c>
      <c r="PM10" s="332" t="str">
        <f t="shared" si="15"/>
        <v/>
      </c>
      <c r="PN10" s="332" t="str">
        <f t="shared" si="15"/>
        <v/>
      </c>
      <c r="PO10" s="332" t="str">
        <f t="shared" si="15"/>
        <v/>
      </c>
      <c r="PP10" s="332">
        <f t="shared" si="15"/>
        <v>44652</v>
      </c>
      <c r="PQ10" s="332" t="str">
        <f t="shared" si="15"/>
        <v/>
      </c>
      <c r="PR10" s="332" t="str">
        <f t="shared" si="15"/>
        <v/>
      </c>
      <c r="PS10" s="332" t="str">
        <f t="shared" si="15"/>
        <v/>
      </c>
      <c r="PT10" s="332" t="str">
        <f t="shared" si="15"/>
        <v/>
      </c>
      <c r="PU10" s="332" t="str">
        <f t="shared" si="15"/>
        <v/>
      </c>
      <c r="PV10" s="332" t="str">
        <f t="shared" si="15"/>
        <v/>
      </c>
      <c r="PW10" s="332" t="str">
        <f t="shared" si="15"/>
        <v/>
      </c>
      <c r="PX10" s="332" t="str">
        <f t="shared" si="15"/>
        <v/>
      </c>
      <c r="PY10" s="332" t="str">
        <f t="shared" si="15"/>
        <v/>
      </c>
      <c r="PZ10" s="332" t="str">
        <f t="shared" si="15"/>
        <v/>
      </c>
      <c r="QA10" s="332" t="str">
        <f t="shared" si="15"/>
        <v/>
      </c>
      <c r="QB10" s="332" t="str">
        <f t="shared" si="15"/>
        <v/>
      </c>
      <c r="QC10" s="332" t="str">
        <f t="shared" si="15"/>
        <v/>
      </c>
      <c r="QD10" s="332" t="str">
        <f t="shared" si="15"/>
        <v/>
      </c>
      <c r="QE10" s="332" t="str">
        <f t="shared" si="15"/>
        <v/>
      </c>
      <c r="QF10" s="332" t="str">
        <f t="shared" si="15"/>
        <v/>
      </c>
      <c r="QG10" s="332" t="str">
        <f t="shared" si="15"/>
        <v/>
      </c>
      <c r="QH10" s="332" t="str">
        <f t="shared" si="15"/>
        <v/>
      </c>
      <c r="QI10" s="332" t="str">
        <f t="shared" si="15"/>
        <v/>
      </c>
      <c r="QJ10" s="332" t="str">
        <f t="shared" si="15"/>
        <v/>
      </c>
      <c r="QK10" s="332" t="str">
        <f t="shared" si="15"/>
        <v/>
      </c>
      <c r="QL10" s="332" t="str">
        <f t="shared" si="15"/>
        <v/>
      </c>
      <c r="QM10" s="332" t="str">
        <f t="shared" si="15"/>
        <v/>
      </c>
      <c r="QN10" s="332" t="str">
        <f t="shared" si="15"/>
        <v/>
      </c>
      <c r="QO10" s="332" t="str">
        <f t="shared" si="15"/>
        <v/>
      </c>
      <c r="QP10" s="332" t="str">
        <f t="shared" si="15"/>
        <v/>
      </c>
      <c r="QQ10" s="332" t="str">
        <f t="shared" si="15"/>
        <v/>
      </c>
      <c r="QR10" s="332" t="str">
        <f t="shared" si="15"/>
        <v/>
      </c>
      <c r="QS10" s="332" t="str">
        <f t="shared" si="15"/>
        <v/>
      </c>
      <c r="QT10" s="332">
        <f t="shared" si="15"/>
        <v>44682</v>
      </c>
      <c r="QU10" s="332" t="str">
        <f t="shared" si="15"/>
        <v/>
      </c>
      <c r="QV10" s="332" t="str">
        <f t="shared" si="15"/>
        <v/>
      </c>
      <c r="QW10" s="332" t="str">
        <f t="shared" si="15"/>
        <v/>
      </c>
      <c r="QX10" s="332" t="str">
        <f t="shared" si="15"/>
        <v/>
      </c>
      <c r="QY10" s="332" t="str">
        <f t="shared" si="15"/>
        <v/>
      </c>
      <c r="QZ10" s="332" t="str">
        <f t="shared" si="15"/>
        <v/>
      </c>
      <c r="RA10" s="332" t="str">
        <f t="shared" si="15"/>
        <v/>
      </c>
      <c r="RB10" s="332" t="str">
        <f t="shared" si="15"/>
        <v/>
      </c>
      <c r="RC10" s="332" t="str">
        <f t="shared" si="15"/>
        <v/>
      </c>
      <c r="RD10" s="332" t="str">
        <f t="shared" si="15"/>
        <v/>
      </c>
      <c r="RE10" s="332" t="str">
        <f t="shared" si="15"/>
        <v/>
      </c>
      <c r="RF10" s="332" t="str">
        <f t="shared" si="15"/>
        <v/>
      </c>
      <c r="RG10" s="332" t="str">
        <f t="shared" si="15"/>
        <v/>
      </c>
      <c r="RH10" s="332" t="str">
        <f t="shared" si="15"/>
        <v/>
      </c>
      <c r="RI10" s="332" t="str">
        <f t="shared" si="15"/>
        <v/>
      </c>
      <c r="RJ10" s="332" t="str">
        <f t="shared" si="15"/>
        <v/>
      </c>
      <c r="RK10" s="332" t="str">
        <f t="shared" si="15"/>
        <v/>
      </c>
      <c r="RL10" s="332" t="str">
        <f t="shared" si="15"/>
        <v/>
      </c>
      <c r="RM10" s="332" t="str">
        <f t="shared" si="15"/>
        <v/>
      </c>
      <c r="RN10" s="332" t="str">
        <f t="shared" si="15"/>
        <v/>
      </c>
      <c r="RO10" s="332" t="str">
        <f t="shared" si="15"/>
        <v/>
      </c>
      <c r="RP10" s="332" t="str">
        <f t="shared" ref="RP10:UA10" si="16">IF(DAY(RP18)=1,RP18,IF(RP9=Red_Bookmark,"TODAY",""))</f>
        <v/>
      </c>
      <c r="RQ10" s="332" t="str">
        <f t="shared" si="16"/>
        <v/>
      </c>
      <c r="RR10" s="332" t="str">
        <f t="shared" si="16"/>
        <v/>
      </c>
      <c r="RS10" s="332" t="str">
        <f t="shared" si="16"/>
        <v/>
      </c>
      <c r="RT10" s="332" t="str">
        <f t="shared" si="16"/>
        <v/>
      </c>
      <c r="RU10" s="332" t="str">
        <f t="shared" si="16"/>
        <v/>
      </c>
      <c r="RV10" s="332" t="str">
        <f t="shared" si="16"/>
        <v/>
      </c>
      <c r="RW10" s="332" t="str">
        <f t="shared" si="16"/>
        <v/>
      </c>
      <c r="RX10" s="332" t="str">
        <f t="shared" si="16"/>
        <v/>
      </c>
      <c r="RY10" s="332">
        <f t="shared" si="16"/>
        <v>44713</v>
      </c>
      <c r="RZ10" s="332" t="str">
        <f t="shared" si="16"/>
        <v/>
      </c>
      <c r="SA10" s="332" t="str">
        <f t="shared" si="16"/>
        <v/>
      </c>
      <c r="SB10" s="332" t="str">
        <f t="shared" si="16"/>
        <v/>
      </c>
      <c r="SC10" s="332" t="str">
        <f t="shared" si="16"/>
        <v/>
      </c>
      <c r="SD10" s="332" t="str">
        <f t="shared" si="16"/>
        <v/>
      </c>
      <c r="SE10" s="332" t="str">
        <f t="shared" si="16"/>
        <v/>
      </c>
      <c r="SF10" s="332" t="str">
        <f t="shared" si="16"/>
        <v/>
      </c>
      <c r="SG10" s="332" t="str">
        <f t="shared" si="16"/>
        <v/>
      </c>
      <c r="SH10" s="332" t="str">
        <f t="shared" si="16"/>
        <v/>
      </c>
      <c r="SI10" s="332" t="str">
        <f t="shared" si="16"/>
        <v/>
      </c>
      <c r="SJ10" s="332" t="str">
        <f t="shared" si="16"/>
        <v/>
      </c>
      <c r="SK10" s="332" t="str">
        <f t="shared" si="16"/>
        <v/>
      </c>
      <c r="SL10" s="332" t="str">
        <f t="shared" si="16"/>
        <v/>
      </c>
      <c r="SM10" s="332" t="str">
        <f t="shared" si="16"/>
        <v/>
      </c>
      <c r="SN10" s="332" t="str">
        <f t="shared" si="16"/>
        <v/>
      </c>
      <c r="SO10" s="332" t="str">
        <f t="shared" si="16"/>
        <v/>
      </c>
      <c r="SP10" s="332" t="str">
        <f t="shared" si="16"/>
        <v/>
      </c>
      <c r="SQ10" s="332" t="str">
        <f t="shared" si="16"/>
        <v/>
      </c>
      <c r="SR10" s="332" t="str">
        <f t="shared" si="16"/>
        <v/>
      </c>
      <c r="SS10" s="332" t="str">
        <f t="shared" si="16"/>
        <v/>
      </c>
      <c r="ST10" s="332" t="str">
        <f t="shared" si="16"/>
        <v/>
      </c>
      <c r="SU10" s="332" t="str">
        <f t="shared" si="16"/>
        <v/>
      </c>
      <c r="SV10" s="332" t="str">
        <f t="shared" si="16"/>
        <v/>
      </c>
      <c r="SW10" s="332" t="str">
        <f t="shared" si="16"/>
        <v/>
      </c>
      <c r="SX10" s="332" t="str">
        <f t="shared" si="16"/>
        <v/>
      </c>
      <c r="SY10" s="332" t="str">
        <f t="shared" si="16"/>
        <v/>
      </c>
      <c r="SZ10" s="332" t="str">
        <f t="shared" si="16"/>
        <v/>
      </c>
      <c r="TA10" s="332" t="str">
        <f t="shared" si="16"/>
        <v/>
      </c>
      <c r="TB10" s="332" t="str">
        <f t="shared" si="16"/>
        <v/>
      </c>
      <c r="TC10" s="332">
        <f t="shared" si="16"/>
        <v>44743</v>
      </c>
      <c r="TD10" s="332" t="str">
        <f t="shared" si="16"/>
        <v/>
      </c>
      <c r="TE10" s="332" t="str">
        <f t="shared" si="16"/>
        <v/>
      </c>
      <c r="TF10" s="332" t="str">
        <f t="shared" si="16"/>
        <v/>
      </c>
      <c r="TG10" s="332" t="str">
        <f t="shared" si="16"/>
        <v/>
      </c>
      <c r="TH10" s="332" t="str">
        <f t="shared" si="16"/>
        <v/>
      </c>
      <c r="TI10" s="332" t="str">
        <f t="shared" si="16"/>
        <v/>
      </c>
      <c r="TJ10" s="332" t="str">
        <f t="shared" si="16"/>
        <v/>
      </c>
      <c r="TK10" s="332" t="str">
        <f t="shared" si="16"/>
        <v/>
      </c>
      <c r="TL10" s="332" t="str">
        <f t="shared" si="16"/>
        <v/>
      </c>
      <c r="TM10" s="332" t="str">
        <f t="shared" si="16"/>
        <v/>
      </c>
      <c r="TN10" s="332" t="str">
        <f t="shared" si="16"/>
        <v/>
      </c>
      <c r="TO10" s="332" t="str">
        <f t="shared" si="16"/>
        <v/>
      </c>
      <c r="TP10" s="332" t="str">
        <f t="shared" si="16"/>
        <v/>
      </c>
      <c r="TQ10" s="332" t="str">
        <f t="shared" si="16"/>
        <v/>
      </c>
      <c r="TR10" s="332" t="str">
        <f t="shared" si="16"/>
        <v/>
      </c>
      <c r="TS10" s="332" t="str">
        <f t="shared" si="16"/>
        <v/>
      </c>
      <c r="TT10" s="332" t="str">
        <f t="shared" si="16"/>
        <v/>
      </c>
      <c r="TU10" s="332" t="str">
        <f t="shared" si="16"/>
        <v/>
      </c>
      <c r="TV10" s="332" t="str">
        <f t="shared" si="16"/>
        <v/>
      </c>
      <c r="TW10" s="332" t="str">
        <f t="shared" si="16"/>
        <v/>
      </c>
      <c r="TX10" s="332" t="str">
        <f t="shared" si="16"/>
        <v/>
      </c>
      <c r="TY10" s="332" t="str">
        <f t="shared" si="16"/>
        <v/>
      </c>
      <c r="TZ10" s="332" t="str">
        <f t="shared" si="16"/>
        <v/>
      </c>
      <c r="UA10" s="332" t="str">
        <f t="shared" si="16"/>
        <v/>
      </c>
      <c r="UB10" s="332" t="str">
        <f t="shared" ref="UB10:UM10" si="17">IF(DAY(UB18)=1,UB18,IF(UB9=Red_Bookmark,"TODAY",""))</f>
        <v/>
      </c>
      <c r="UC10" s="332" t="str">
        <f t="shared" si="17"/>
        <v/>
      </c>
      <c r="UD10" s="332" t="str">
        <f t="shared" si="17"/>
        <v/>
      </c>
      <c r="UE10" s="332" t="str">
        <f t="shared" si="17"/>
        <v/>
      </c>
      <c r="UF10" s="332" t="str">
        <f t="shared" si="17"/>
        <v/>
      </c>
      <c r="UG10" s="332" t="str">
        <f t="shared" si="17"/>
        <v/>
      </c>
      <c r="UH10" s="332">
        <f t="shared" si="17"/>
        <v>44774</v>
      </c>
      <c r="UI10" s="332" t="str">
        <f t="shared" si="17"/>
        <v/>
      </c>
      <c r="UJ10" s="332" t="str">
        <f t="shared" si="17"/>
        <v/>
      </c>
      <c r="UK10" s="332" t="str">
        <f t="shared" si="17"/>
        <v/>
      </c>
      <c r="UL10" s="332" t="str">
        <f t="shared" si="17"/>
        <v/>
      </c>
      <c r="UM10" s="332" t="str">
        <f t="shared" si="17"/>
        <v/>
      </c>
    </row>
    <row r="11" spans="1:565" s="133" customFormat="1" ht="12.75" customHeight="1">
      <c r="A11" s="118"/>
      <c r="B11" s="118"/>
      <c r="C11" s="118"/>
      <c r="D11" s="118"/>
      <c r="E11" s="118"/>
      <c r="F11" s="135"/>
      <c r="G11" s="134"/>
      <c r="H11" s="118"/>
      <c r="I11" s="118"/>
      <c r="J11" s="249"/>
      <c r="K11" s="122"/>
      <c r="L11" s="136"/>
      <c r="M11" s="122"/>
      <c r="N11" s="122"/>
      <c r="O11" s="121"/>
      <c r="P11" s="137"/>
      <c r="Q11" s="138"/>
      <c r="R11" s="138"/>
      <c r="S11" s="138"/>
      <c r="T11" s="138"/>
      <c r="U11" s="138"/>
      <c r="V11" s="138"/>
      <c r="W11" s="138"/>
      <c r="X11" s="138"/>
      <c r="Y11" s="124"/>
      <c r="Z11" s="124"/>
      <c r="AA11" s="124"/>
      <c r="AB11" s="2"/>
      <c r="AC11" s="273"/>
      <c r="AD11" s="124"/>
      <c r="AE11" s="140"/>
      <c r="AF11" s="141"/>
      <c r="AG11" s="141"/>
      <c r="AH11" s="141"/>
      <c r="AI11" s="141"/>
      <c r="AJ11" s="332"/>
      <c r="AK11" s="332"/>
      <c r="AL11" s="332"/>
      <c r="AM11" s="332"/>
      <c r="AN11" s="332"/>
      <c r="AO11" s="332"/>
      <c r="AP11" s="332"/>
      <c r="AQ11" s="332"/>
      <c r="AR11" s="332"/>
      <c r="AS11" s="332"/>
      <c r="AT11" s="332"/>
      <c r="AU11" s="332"/>
      <c r="AV11" s="332"/>
      <c r="AW11" s="332"/>
      <c r="AX11" s="332"/>
      <c r="AY11" s="332"/>
      <c r="AZ11" s="332"/>
      <c r="BA11" s="332"/>
      <c r="BB11" s="332"/>
      <c r="BC11" s="332"/>
      <c r="BD11" s="332"/>
      <c r="BE11" s="332"/>
      <c r="BF11" s="332"/>
      <c r="BG11" s="332"/>
      <c r="BH11" s="332"/>
      <c r="BI11" s="332"/>
      <c r="BJ11" s="332"/>
      <c r="BK11" s="332"/>
      <c r="BL11" s="332"/>
      <c r="BM11" s="332"/>
      <c r="BN11" s="332"/>
      <c r="BO11" s="332"/>
      <c r="BP11" s="332"/>
      <c r="BQ11" s="332"/>
      <c r="BR11" s="332"/>
      <c r="BS11" s="332"/>
      <c r="BT11" s="332"/>
      <c r="BU11" s="332"/>
      <c r="BV11" s="332"/>
      <c r="BW11" s="332"/>
      <c r="BX11" s="332"/>
      <c r="BY11" s="332"/>
      <c r="BZ11" s="332"/>
      <c r="CA11" s="332"/>
      <c r="CB11" s="332"/>
      <c r="CC11" s="332"/>
      <c r="CD11" s="332"/>
      <c r="CE11" s="332"/>
      <c r="CF11" s="332"/>
      <c r="CG11" s="332"/>
      <c r="CH11" s="332"/>
      <c r="CI11" s="332"/>
      <c r="CJ11" s="332"/>
      <c r="CK11" s="332"/>
      <c r="CL11" s="332"/>
      <c r="CM11" s="332"/>
      <c r="CN11" s="332"/>
      <c r="CO11" s="332"/>
      <c r="CP11" s="332"/>
      <c r="CQ11" s="332"/>
      <c r="CR11" s="332"/>
      <c r="CS11" s="332"/>
      <c r="CT11" s="332"/>
      <c r="CU11" s="332"/>
      <c r="CV11" s="332"/>
      <c r="CW11" s="332"/>
      <c r="CX11" s="332"/>
      <c r="CY11" s="332"/>
      <c r="CZ11" s="332"/>
      <c r="DA11" s="332"/>
      <c r="DB11" s="332"/>
      <c r="DC11" s="332"/>
      <c r="DD11" s="332"/>
      <c r="DE11" s="332"/>
      <c r="DF11" s="332"/>
      <c r="DG11" s="332"/>
      <c r="DH11" s="332"/>
      <c r="DI11" s="332"/>
      <c r="DJ11" s="332"/>
      <c r="DK11" s="332"/>
      <c r="DL11" s="332"/>
      <c r="DM11" s="332"/>
      <c r="DN11" s="332"/>
      <c r="DO11" s="332"/>
      <c r="DP11" s="332"/>
      <c r="DQ11" s="332"/>
      <c r="DR11" s="332"/>
      <c r="DS11" s="332"/>
      <c r="DT11" s="332"/>
      <c r="DU11" s="332"/>
      <c r="DV11" s="332"/>
      <c r="DW11" s="332"/>
      <c r="DX11" s="332"/>
      <c r="DY11" s="332"/>
      <c r="DZ11" s="332"/>
      <c r="EA11" s="332"/>
      <c r="EB11" s="332"/>
      <c r="EC11" s="332"/>
      <c r="ED11" s="332"/>
      <c r="EE11" s="332"/>
      <c r="EF11" s="332"/>
      <c r="EG11" s="332"/>
      <c r="EH11" s="332"/>
      <c r="EI11" s="332"/>
      <c r="EJ11" s="332"/>
      <c r="EK11" s="332"/>
      <c r="EL11" s="332"/>
      <c r="EM11" s="332"/>
      <c r="EN11" s="332"/>
      <c r="EO11" s="332"/>
      <c r="EP11" s="332"/>
      <c r="EQ11" s="332"/>
      <c r="ER11" s="332"/>
      <c r="ES11" s="332"/>
      <c r="ET11" s="332"/>
      <c r="EU11" s="332"/>
      <c r="EV11" s="332"/>
      <c r="EW11" s="332"/>
      <c r="EX11" s="332"/>
      <c r="EY11" s="332"/>
      <c r="EZ11" s="332"/>
      <c r="FA11" s="332"/>
      <c r="FB11" s="332"/>
      <c r="FC11" s="332"/>
      <c r="FD11" s="332"/>
      <c r="FE11" s="332"/>
      <c r="FF11" s="332"/>
      <c r="FG11" s="332"/>
      <c r="FH11" s="332"/>
      <c r="FI11" s="332"/>
      <c r="FJ11" s="332"/>
      <c r="FK11" s="332"/>
      <c r="FL11" s="332"/>
      <c r="FM11" s="332"/>
      <c r="FN11" s="332"/>
      <c r="FO11" s="332"/>
      <c r="FP11" s="332"/>
      <c r="FQ11" s="332"/>
      <c r="FR11" s="332"/>
      <c r="FS11" s="332"/>
      <c r="FT11" s="332"/>
      <c r="FU11" s="332"/>
      <c r="FV11" s="332"/>
      <c r="FW11" s="332"/>
      <c r="FX11" s="332"/>
      <c r="FY11" s="332"/>
      <c r="FZ11" s="332"/>
      <c r="GA11" s="332"/>
      <c r="GB11" s="332"/>
      <c r="GC11" s="332"/>
      <c r="GD11" s="332"/>
      <c r="GE11" s="332"/>
      <c r="GF11" s="332"/>
      <c r="GG11" s="332"/>
      <c r="GH11" s="332"/>
      <c r="GI11" s="332"/>
      <c r="GJ11" s="332"/>
      <c r="GK11" s="332"/>
      <c r="GL11" s="332"/>
      <c r="GM11" s="332"/>
      <c r="GN11" s="332"/>
      <c r="GO11" s="332"/>
      <c r="GP11" s="332"/>
      <c r="GQ11" s="332"/>
      <c r="GR11" s="332"/>
      <c r="GS11" s="332"/>
      <c r="GT11" s="332"/>
      <c r="GU11" s="332"/>
      <c r="GV11" s="332"/>
      <c r="GW11" s="332"/>
      <c r="GX11" s="332"/>
      <c r="GY11" s="332"/>
      <c r="GZ11" s="332"/>
      <c r="HA11" s="332"/>
      <c r="HB11" s="332"/>
      <c r="HC11" s="332"/>
      <c r="HD11" s="332"/>
      <c r="HE11" s="332"/>
      <c r="HF11" s="332"/>
      <c r="HG11" s="332"/>
      <c r="HH11" s="332"/>
      <c r="HI11" s="332"/>
      <c r="HJ11" s="332"/>
      <c r="HK11" s="332"/>
      <c r="HL11" s="332"/>
      <c r="HM11" s="332"/>
      <c r="HN11" s="332"/>
      <c r="HO11" s="332"/>
      <c r="HP11" s="332"/>
      <c r="HQ11" s="332"/>
      <c r="HR11" s="332"/>
      <c r="HS11" s="332"/>
      <c r="HT11" s="332"/>
      <c r="HU11" s="332"/>
      <c r="HV11" s="332"/>
      <c r="HW11" s="332"/>
      <c r="HX11" s="332"/>
      <c r="HY11" s="332"/>
      <c r="HZ11" s="332"/>
      <c r="IA11" s="332"/>
      <c r="IB11" s="332"/>
      <c r="IC11" s="332"/>
      <c r="ID11" s="332"/>
      <c r="IE11" s="332"/>
      <c r="IF11" s="332"/>
      <c r="IG11" s="332"/>
      <c r="IH11" s="332"/>
      <c r="II11" s="332"/>
      <c r="IJ11" s="332"/>
      <c r="IK11" s="332"/>
      <c r="IL11" s="332"/>
      <c r="IM11" s="332"/>
      <c r="IN11" s="332"/>
      <c r="IO11" s="332"/>
      <c r="IP11" s="332"/>
      <c r="IQ11" s="332"/>
      <c r="IR11" s="332"/>
      <c r="IS11" s="332"/>
      <c r="IT11" s="332"/>
      <c r="IU11" s="332"/>
      <c r="IV11" s="332"/>
      <c r="IW11" s="332"/>
      <c r="IX11" s="332"/>
      <c r="IY11" s="332"/>
      <c r="IZ11" s="332"/>
      <c r="JA11" s="332"/>
      <c r="JB11" s="332"/>
      <c r="JC11" s="332"/>
      <c r="JD11" s="332"/>
      <c r="JE11" s="332"/>
      <c r="JF11" s="332"/>
      <c r="JG11" s="332"/>
      <c r="JH11" s="332"/>
      <c r="JI11" s="332"/>
      <c r="JJ11" s="332"/>
      <c r="JK11" s="332"/>
      <c r="JL11" s="332"/>
      <c r="JM11" s="332"/>
      <c r="JN11" s="332"/>
      <c r="JO11" s="332"/>
      <c r="JP11" s="332"/>
      <c r="JQ11" s="332"/>
      <c r="JR11" s="332"/>
      <c r="JS11" s="332"/>
      <c r="JT11" s="332"/>
      <c r="JU11" s="332"/>
      <c r="JV11" s="332"/>
      <c r="JW11" s="332"/>
      <c r="JX11" s="332"/>
      <c r="JY11" s="332"/>
      <c r="JZ11" s="332"/>
      <c r="KA11" s="332"/>
      <c r="KB11" s="332"/>
      <c r="KC11" s="332"/>
      <c r="KD11" s="332"/>
      <c r="KE11" s="332"/>
      <c r="KF11" s="332"/>
      <c r="KG11" s="332"/>
      <c r="KH11" s="332"/>
      <c r="KI11" s="332"/>
      <c r="KJ11" s="332"/>
      <c r="KK11" s="332"/>
      <c r="KL11" s="332"/>
      <c r="KM11" s="332"/>
      <c r="KN11" s="332"/>
      <c r="KO11" s="332"/>
      <c r="KP11" s="332"/>
      <c r="KQ11" s="332"/>
      <c r="KR11" s="332"/>
      <c r="KS11" s="332"/>
      <c r="KT11" s="332"/>
      <c r="KU11" s="332"/>
      <c r="KV11" s="332"/>
      <c r="KW11" s="332"/>
      <c r="KX11" s="332"/>
      <c r="KY11" s="332"/>
      <c r="KZ11" s="332"/>
      <c r="LA11" s="332"/>
      <c r="LB11" s="332"/>
      <c r="LC11" s="332"/>
      <c r="LD11" s="332"/>
      <c r="LE11" s="332"/>
      <c r="LF11" s="332"/>
      <c r="LG11" s="332"/>
      <c r="LH11" s="332"/>
      <c r="LI11" s="332"/>
      <c r="LJ11" s="332"/>
      <c r="LK11" s="332"/>
      <c r="LL11" s="332"/>
      <c r="LM11" s="332"/>
      <c r="LN11" s="332"/>
      <c r="LO11" s="332"/>
      <c r="LP11" s="332"/>
      <c r="LQ11" s="332"/>
      <c r="LR11" s="332"/>
      <c r="LS11" s="332"/>
      <c r="LT11" s="332"/>
      <c r="LU11" s="332"/>
      <c r="LV11" s="332"/>
      <c r="LW11" s="332"/>
      <c r="LX11" s="332"/>
      <c r="LY11" s="332"/>
      <c r="LZ11" s="332"/>
      <c r="MA11" s="332"/>
      <c r="MB11" s="332"/>
      <c r="MC11" s="332"/>
      <c r="MD11" s="332"/>
      <c r="ME11" s="332"/>
      <c r="MF11" s="332"/>
      <c r="MG11" s="332"/>
      <c r="MH11" s="332"/>
      <c r="MI11" s="332"/>
      <c r="MJ11" s="332"/>
      <c r="MK11" s="332"/>
      <c r="ML11" s="332"/>
      <c r="MM11" s="332"/>
      <c r="MN11" s="332"/>
      <c r="MO11" s="332"/>
      <c r="MP11" s="332"/>
      <c r="MQ11" s="332"/>
      <c r="MR11" s="332"/>
      <c r="MS11" s="332"/>
      <c r="MT11" s="332"/>
      <c r="MU11" s="332"/>
      <c r="MV11" s="332"/>
      <c r="MW11" s="332"/>
      <c r="MX11" s="332"/>
      <c r="MY11" s="332"/>
      <c r="MZ11" s="332"/>
      <c r="NA11" s="332"/>
      <c r="NB11" s="332"/>
      <c r="NC11" s="332"/>
      <c r="ND11" s="332"/>
      <c r="NE11" s="332"/>
      <c r="NF11" s="332"/>
      <c r="NG11" s="332"/>
      <c r="NH11" s="332"/>
      <c r="NI11" s="332"/>
      <c r="NJ11" s="332"/>
      <c r="NK11" s="332"/>
      <c r="NL11" s="332"/>
      <c r="NM11" s="332"/>
      <c r="NN11" s="332"/>
      <c r="NO11" s="332"/>
      <c r="NP11" s="332"/>
      <c r="NQ11" s="332"/>
      <c r="NR11" s="332"/>
      <c r="NS11" s="332"/>
      <c r="NT11" s="332"/>
      <c r="NU11" s="332"/>
      <c r="NV11" s="332"/>
      <c r="NW11" s="332"/>
      <c r="NX11" s="332"/>
      <c r="NY11" s="332"/>
      <c r="NZ11" s="332"/>
      <c r="OA11" s="332"/>
      <c r="OB11" s="332"/>
      <c r="OC11" s="332"/>
      <c r="OD11" s="332"/>
      <c r="OE11" s="332"/>
      <c r="OF11" s="332"/>
      <c r="OG11" s="332"/>
      <c r="OH11" s="332"/>
      <c r="OI11" s="332"/>
      <c r="OJ11" s="332"/>
      <c r="OK11" s="332"/>
      <c r="OL11" s="332"/>
      <c r="OM11" s="332"/>
      <c r="ON11" s="332"/>
      <c r="OO11" s="332"/>
      <c r="OP11" s="332"/>
      <c r="OQ11" s="332"/>
      <c r="OR11" s="332"/>
      <c r="OS11" s="332"/>
      <c r="OT11" s="332"/>
      <c r="OU11" s="332"/>
      <c r="OV11" s="332"/>
      <c r="OW11" s="332"/>
      <c r="OX11" s="332"/>
      <c r="OY11" s="332"/>
      <c r="OZ11" s="332"/>
      <c r="PA11" s="332"/>
      <c r="PB11" s="332"/>
      <c r="PC11" s="332"/>
      <c r="PD11" s="332"/>
      <c r="PE11" s="332"/>
      <c r="PF11" s="332"/>
      <c r="PG11" s="332"/>
      <c r="PH11" s="332"/>
      <c r="PI11" s="332"/>
      <c r="PJ11" s="332"/>
      <c r="PK11" s="332"/>
      <c r="PL11" s="332"/>
      <c r="PM11" s="332"/>
      <c r="PN11" s="332"/>
      <c r="PO11" s="332"/>
      <c r="PP11" s="332"/>
      <c r="PQ11" s="332"/>
      <c r="PR11" s="332"/>
      <c r="PS11" s="332"/>
      <c r="PT11" s="332"/>
      <c r="PU11" s="332"/>
      <c r="PV11" s="332"/>
      <c r="PW11" s="332"/>
      <c r="PX11" s="332"/>
      <c r="PY11" s="332"/>
      <c r="PZ11" s="332"/>
      <c r="QA11" s="332"/>
      <c r="QB11" s="332"/>
      <c r="QC11" s="332"/>
      <c r="QD11" s="332"/>
      <c r="QE11" s="332"/>
      <c r="QF11" s="332"/>
      <c r="QG11" s="332"/>
      <c r="QH11" s="332"/>
      <c r="QI11" s="332"/>
      <c r="QJ11" s="332"/>
      <c r="QK11" s="332"/>
      <c r="QL11" s="332"/>
      <c r="QM11" s="332"/>
      <c r="QN11" s="332"/>
      <c r="QO11" s="332"/>
      <c r="QP11" s="332"/>
      <c r="QQ11" s="332"/>
      <c r="QR11" s="332"/>
      <c r="QS11" s="332"/>
      <c r="QT11" s="332"/>
      <c r="QU11" s="332"/>
      <c r="QV11" s="332"/>
      <c r="QW11" s="332"/>
      <c r="QX11" s="332"/>
      <c r="QY11" s="332"/>
      <c r="QZ11" s="332"/>
      <c r="RA11" s="332"/>
      <c r="RB11" s="332"/>
      <c r="RC11" s="332"/>
      <c r="RD11" s="332"/>
      <c r="RE11" s="332"/>
      <c r="RF11" s="332"/>
      <c r="RG11" s="332"/>
      <c r="RH11" s="332"/>
      <c r="RI11" s="332"/>
      <c r="RJ11" s="332"/>
      <c r="RK11" s="332"/>
      <c r="RL11" s="332"/>
      <c r="RM11" s="332"/>
      <c r="RN11" s="332"/>
      <c r="RO11" s="332"/>
      <c r="RP11" s="332"/>
      <c r="RQ11" s="332"/>
      <c r="RR11" s="332"/>
      <c r="RS11" s="332"/>
      <c r="RT11" s="332"/>
      <c r="RU11" s="332"/>
      <c r="RV11" s="332"/>
      <c r="RW11" s="332"/>
      <c r="RX11" s="332"/>
      <c r="RY11" s="332"/>
      <c r="RZ11" s="332"/>
      <c r="SA11" s="332"/>
      <c r="SB11" s="332"/>
      <c r="SC11" s="332"/>
      <c r="SD11" s="332"/>
      <c r="SE11" s="332"/>
      <c r="SF11" s="332"/>
      <c r="SG11" s="332"/>
      <c r="SH11" s="332"/>
      <c r="SI11" s="332"/>
      <c r="SJ11" s="332"/>
      <c r="SK11" s="332"/>
      <c r="SL11" s="332"/>
      <c r="SM11" s="332"/>
      <c r="SN11" s="332"/>
      <c r="SO11" s="332"/>
      <c r="SP11" s="332"/>
      <c r="SQ11" s="332"/>
      <c r="SR11" s="332"/>
      <c r="SS11" s="332"/>
      <c r="ST11" s="332"/>
      <c r="SU11" s="332"/>
      <c r="SV11" s="332"/>
      <c r="SW11" s="332"/>
      <c r="SX11" s="332"/>
      <c r="SY11" s="332"/>
      <c r="SZ11" s="332"/>
      <c r="TA11" s="332"/>
      <c r="TB11" s="332"/>
      <c r="TC11" s="332"/>
      <c r="TD11" s="332"/>
      <c r="TE11" s="332"/>
      <c r="TF11" s="332"/>
      <c r="TG11" s="332"/>
      <c r="TH11" s="332"/>
      <c r="TI11" s="332"/>
      <c r="TJ11" s="332"/>
      <c r="TK11" s="332"/>
      <c r="TL11" s="332"/>
      <c r="TM11" s="332"/>
      <c r="TN11" s="332"/>
      <c r="TO11" s="332"/>
      <c r="TP11" s="332"/>
      <c r="TQ11" s="332"/>
      <c r="TR11" s="332"/>
      <c r="TS11" s="332"/>
      <c r="TT11" s="332"/>
      <c r="TU11" s="332"/>
      <c r="TV11" s="332"/>
      <c r="TW11" s="332"/>
      <c r="TX11" s="332"/>
      <c r="TY11" s="332"/>
      <c r="TZ11" s="332"/>
      <c r="UA11" s="332"/>
      <c r="UB11" s="332"/>
      <c r="UC11" s="332"/>
      <c r="UD11" s="332"/>
      <c r="UE11" s="332"/>
      <c r="UF11" s="332"/>
      <c r="UG11" s="332"/>
      <c r="UH11" s="332"/>
      <c r="UI11" s="332"/>
      <c r="UJ11" s="332"/>
      <c r="UK11" s="332"/>
      <c r="UL11" s="332"/>
      <c r="UM11" s="332"/>
    </row>
    <row r="12" spans="1:565" s="133" customFormat="1" ht="12.75" customHeight="1">
      <c r="A12" s="118"/>
      <c r="B12" s="118"/>
      <c r="C12" s="118"/>
      <c r="D12" s="118"/>
      <c r="E12" s="118"/>
      <c r="F12" s="118"/>
      <c r="H12" s="118"/>
      <c r="I12" s="118"/>
      <c r="J12" s="249"/>
      <c r="K12" s="122"/>
      <c r="L12" s="136"/>
      <c r="M12" s="122"/>
      <c r="N12" s="122"/>
      <c r="O12" s="121"/>
      <c r="P12" s="138"/>
      <c r="Q12" s="138"/>
      <c r="R12" s="138"/>
      <c r="S12" s="138"/>
      <c r="T12" s="138"/>
      <c r="U12" s="138"/>
      <c r="V12" s="138"/>
      <c r="W12" s="138"/>
      <c r="X12" s="138"/>
      <c r="Y12" s="139"/>
      <c r="Z12" s="139"/>
      <c r="AA12" s="139"/>
      <c r="AB12" s="124"/>
      <c r="AC12" s="139"/>
      <c r="AD12" s="139"/>
      <c r="AE12" s="141"/>
      <c r="AF12" s="141"/>
      <c r="AG12" s="141"/>
      <c r="AH12" s="141"/>
      <c r="AI12" s="141"/>
      <c r="AJ12" s="332"/>
      <c r="AK12" s="332"/>
      <c r="AL12" s="332"/>
      <c r="AM12" s="332"/>
      <c r="AN12" s="332"/>
      <c r="AO12" s="332"/>
      <c r="AP12" s="332"/>
      <c r="AQ12" s="332"/>
      <c r="AR12" s="332"/>
      <c r="AS12" s="332"/>
      <c r="AT12" s="332"/>
      <c r="AU12" s="332"/>
      <c r="AV12" s="332"/>
      <c r="AW12" s="332"/>
      <c r="AX12" s="332"/>
      <c r="AY12" s="332"/>
      <c r="AZ12" s="332"/>
      <c r="BA12" s="332"/>
      <c r="BB12" s="332"/>
      <c r="BC12" s="332"/>
      <c r="BD12" s="332"/>
      <c r="BE12" s="332"/>
      <c r="BF12" s="332"/>
      <c r="BG12" s="332"/>
      <c r="BH12" s="332"/>
      <c r="BI12" s="332"/>
      <c r="BJ12" s="332"/>
      <c r="BK12" s="332"/>
      <c r="BL12" s="332"/>
      <c r="BM12" s="332"/>
      <c r="BN12" s="332"/>
      <c r="BO12" s="332"/>
      <c r="BP12" s="332"/>
      <c r="BQ12" s="332"/>
      <c r="BR12" s="332"/>
      <c r="BS12" s="332"/>
      <c r="BT12" s="332"/>
      <c r="BU12" s="332"/>
      <c r="BV12" s="332"/>
      <c r="BW12" s="332"/>
      <c r="BX12" s="332"/>
      <c r="BY12" s="332"/>
      <c r="BZ12" s="332"/>
      <c r="CA12" s="332"/>
      <c r="CB12" s="332"/>
      <c r="CC12" s="332"/>
      <c r="CD12" s="332"/>
      <c r="CE12" s="332"/>
      <c r="CF12" s="332"/>
      <c r="CG12" s="332"/>
      <c r="CH12" s="332"/>
      <c r="CI12" s="332"/>
      <c r="CJ12" s="332"/>
      <c r="CK12" s="332"/>
      <c r="CL12" s="332"/>
      <c r="CM12" s="332"/>
      <c r="CN12" s="332"/>
      <c r="CO12" s="332"/>
      <c r="CP12" s="332"/>
      <c r="CQ12" s="332"/>
      <c r="CR12" s="332"/>
      <c r="CS12" s="332"/>
      <c r="CT12" s="332"/>
      <c r="CU12" s="332"/>
      <c r="CV12" s="332"/>
      <c r="CW12" s="332"/>
      <c r="CX12" s="332"/>
      <c r="CY12" s="332"/>
      <c r="CZ12" s="332"/>
      <c r="DA12" s="332"/>
      <c r="DB12" s="332"/>
      <c r="DC12" s="332"/>
      <c r="DD12" s="332"/>
      <c r="DE12" s="332"/>
      <c r="DF12" s="332"/>
      <c r="DG12" s="332"/>
      <c r="DH12" s="332"/>
      <c r="DI12" s="332"/>
      <c r="DJ12" s="332"/>
      <c r="DK12" s="332"/>
      <c r="DL12" s="332"/>
      <c r="DM12" s="332"/>
      <c r="DN12" s="332"/>
      <c r="DO12" s="332"/>
      <c r="DP12" s="332"/>
      <c r="DQ12" s="332"/>
      <c r="DR12" s="332"/>
      <c r="DS12" s="332"/>
      <c r="DT12" s="332"/>
      <c r="DU12" s="332"/>
      <c r="DV12" s="332"/>
      <c r="DW12" s="332"/>
      <c r="DX12" s="332"/>
      <c r="DY12" s="332"/>
      <c r="DZ12" s="332"/>
      <c r="EA12" s="332"/>
      <c r="EB12" s="332"/>
      <c r="EC12" s="332"/>
      <c r="ED12" s="332"/>
      <c r="EE12" s="332"/>
      <c r="EF12" s="332"/>
      <c r="EG12" s="332"/>
      <c r="EH12" s="332"/>
      <c r="EI12" s="332"/>
      <c r="EJ12" s="332"/>
      <c r="EK12" s="332"/>
      <c r="EL12" s="332"/>
      <c r="EM12" s="332"/>
      <c r="EN12" s="332"/>
      <c r="EO12" s="332"/>
      <c r="EP12" s="332"/>
      <c r="EQ12" s="332"/>
      <c r="ER12" s="332"/>
      <c r="ES12" s="332"/>
      <c r="ET12" s="332"/>
      <c r="EU12" s="332"/>
      <c r="EV12" s="332"/>
      <c r="EW12" s="332"/>
      <c r="EX12" s="332"/>
      <c r="EY12" s="332"/>
      <c r="EZ12" s="332"/>
      <c r="FA12" s="332"/>
      <c r="FB12" s="332"/>
      <c r="FC12" s="332"/>
      <c r="FD12" s="332"/>
      <c r="FE12" s="332"/>
      <c r="FF12" s="332"/>
      <c r="FG12" s="332"/>
      <c r="FH12" s="332"/>
      <c r="FI12" s="332"/>
      <c r="FJ12" s="332"/>
      <c r="FK12" s="332"/>
      <c r="FL12" s="332"/>
      <c r="FM12" s="332"/>
      <c r="FN12" s="332"/>
      <c r="FO12" s="332"/>
      <c r="FP12" s="332"/>
      <c r="FQ12" s="332"/>
      <c r="FR12" s="332"/>
      <c r="FS12" s="332"/>
      <c r="FT12" s="332"/>
      <c r="FU12" s="332"/>
      <c r="FV12" s="332"/>
      <c r="FW12" s="332"/>
      <c r="FX12" s="332"/>
      <c r="FY12" s="332"/>
      <c r="FZ12" s="332"/>
      <c r="GA12" s="332"/>
      <c r="GB12" s="332"/>
      <c r="GC12" s="332"/>
      <c r="GD12" s="332"/>
      <c r="GE12" s="332"/>
      <c r="GF12" s="332"/>
      <c r="GG12" s="332"/>
      <c r="GH12" s="332"/>
      <c r="GI12" s="332"/>
      <c r="GJ12" s="332"/>
      <c r="GK12" s="332"/>
      <c r="GL12" s="332"/>
      <c r="GM12" s="332"/>
      <c r="GN12" s="332"/>
      <c r="GO12" s="332"/>
      <c r="GP12" s="332"/>
      <c r="GQ12" s="332"/>
      <c r="GR12" s="332"/>
      <c r="GS12" s="332"/>
      <c r="GT12" s="332"/>
      <c r="GU12" s="332"/>
      <c r="GV12" s="332"/>
      <c r="GW12" s="332"/>
      <c r="GX12" s="332"/>
      <c r="GY12" s="332"/>
      <c r="GZ12" s="332"/>
      <c r="HA12" s="332"/>
      <c r="HB12" s="332"/>
      <c r="HC12" s="332"/>
      <c r="HD12" s="332"/>
      <c r="HE12" s="332"/>
      <c r="HF12" s="332"/>
      <c r="HG12" s="332"/>
      <c r="HH12" s="332"/>
      <c r="HI12" s="332"/>
      <c r="HJ12" s="332"/>
      <c r="HK12" s="332"/>
      <c r="HL12" s="332"/>
      <c r="HM12" s="332"/>
      <c r="HN12" s="332"/>
      <c r="HO12" s="332"/>
      <c r="HP12" s="332"/>
      <c r="HQ12" s="332"/>
      <c r="HR12" s="332"/>
      <c r="HS12" s="332"/>
      <c r="HT12" s="332"/>
      <c r="HU12" s="332"/>
      <c r="HV12" s="332"/>
      <c r="HW12" s="332"/>
      <c r="HX12" s="332"/>
      <c r="HY12" s="332"/>
      <c r="HZ12" s="332"/>
      <c r="IA12" s="332"/>
      <c r="IB12" s="332"/>
      <c r="IC12" s="332"/>
      <c r="ID12" s="332"/>
      <c r="IE12" s="332"/>
      <c r="IF12" s="332"/>
      <c r="IG12" s="332"/>
      <c r="IH12" s="332"/>
      <c r="II12" s="332"/>
      <c r="IJ12" s="332"/>
      <c r="IK12" s="332"/>
      <c r="IL12" s="332"/>
      <c r="IM12" s="332"/>
      <c r="IN12" s="332"/>
      <c r="IO12" s="332"/>
      <c r="IP12" s="332"/>
      <c r="IQ12" s="332"/>
      <c r="IR12" s="332"/>
      <c r="IS12" s="332"/>
      <c r="IT12" s="332"/>
      <c r="IU12" s="332"/>
      <c r="IV12" s="332"/>
      <c r="IW12" s="332"/>
      <c r="IX12" s="332"/>
      <c r="IY12" s="332"/>
      <c r="IZ12" s="332"/>
      <c r="JA12" s="332"/>
      <c r="JB12" s="332"/>
      <c r="JC12" s="332"/>
      <c r="JD12" s="332"/>
      <c r="JE12" s="332"/>
      <c r="JF12" s="332"/>
      <c r="JG12" s="332"/>
      <c r="JH12" s="332"/>
      <c r="JI12" s="332"/>
      <c r="JJ12" s="332"/>
      <c r="JK12" s="332"/>
      <c r="JL12" s="332"/>
      <c r="JM12" s="332"/>
      <c r="JN12" s="332"/>
      <c r="JO12" s="332"/>
      <c r="JP12" s="332"/>
      <c r="JQ12" s="332"/>
      <c r="JR12" s="332"/>
      <c r="JS12" s="332"/>
      <c r="JT12" s="332"/>
      <c r="JU12" s="332"/>
      <c r="JV12" s="332"/>
      <c r="JW12" s="332"/>
      <c r="JX12" s="332"/>
      <c r="JY12" s="332"/>
      <c r="JZ12" s="332"/>
      <c r="KA12" s="332"/>
      <c r="KB12" s="332"/>
      <c r="KC12" s="332"/>
      <c r="KD12" s="332"/>
      <c r="KE12" s="332"/>
      <c r="KF12" s="332"/>
      <c r="KG12" s="332"/>
      <c r="KH12" s="332"/>
      <c r="KI12" s="332"/>
      <c r="KJ12" s="332"/>
      <c r="KK12" s="332"/>
      <c r="KL12" s="332"/>
      <c r="KM12" s="332"/>
      <c r="KN12" s="332"/>
      <c r="KO12" s="332"/>
      <c r="KP12" s="332"/>
      <c r="KQ12" s="332"/>
      <c r="KR12" s="332"/>
      <c r="KS12" s="332"/>
      <c r="KT12" s="332"/>
      <c r="KU12" s="332"/>
      <c r="KV12" s="332"/>
      <c r="KW12" s="332"/>
      <c r="KX12" s="332"/>
      <c r="KY12" s="332"/>
      <c r="KZ12" s="332"/>
      <c r="LA12" s="332"/>
      <c r="LB12" s="332"/>
      <c r="LC12" s="332"/>
      <c r="LD12" s="332"/>
      <c r="LE12" s="332"/>
      <c r="LF12" s="332"/>
      <c r="LG12" s="332"/>
      <c r="LH12" s="332"/>
      <c r="LI12" s="332"/>
      <c r="LJ12" s="332"/>
      <c r="LK12" s="332"/>
      <c r="LL12" s="332"/>
      <c r="LM12" s="332"/>
      <c r="LN12" s="332"/>
      <c r="LO12" s="332"/>
      <c r="LP12" s="332"/>
      <c r="LQ12" s="332"/>
      <c r="LR12" s="332"/>
      <c r="LS12" s="332"/>
      <c r="LT12" s="332"/>
      <c r="LU12" s="332"/>
      <c r="LV12" s="332"/>
      <c r="LW12" s="332"/>
      <c r="LX12" s="332"/>
      <c r="LY12" s="332"/>
      <c r="LZ12" s="332"/>
      <c r="MA12" s="332"/>
      <c r="MB12" s="332"/>
      <c r="MC12" s="332"/>
      <c r="MD12" s="332"/>
      <c r="ME12" s="332"/>
      <c r="MF12" s="332"/>
      <c r="MG12" s="332"/>
      <c r="MH12" s="332"/>
      <c r="MI12" s="332"/>
      <c r="MJ12" s="332"/>
      <c r="MK12" s="332"/>
      <c r="ML12" s="332"/>
      <c r="MM12" s="332"/>
      <c r="MN12" s="332"/>
      <c r="MO12" s="332"/>
      <c r="MP12" s="332"/>
      <c r="MQ12" s="332"/>
      <c r="MR12" s="332"/>
      <c r="MS12" s="332"/>
      <c r="MT12" s="332"/>
      <c r="MU12" s="332"/>
      <c r="MV12" s="332"/>
      <c r="MW12" s="332"/>
      <c r="MX12" s="332"/>
      <c r="MY12" s="332"/>
      <c r="MZ12" s="332"/>
      <c r="NA12" s="332"/>
      <c r="NB12" s="332"/>
      <c r="NC12" s="332"/>
      <c r="ND12" s="332"/>
      <c r="NE12" s="332"/>
      <c r="NF12" s="332"/>
      <c r="NG12" s="332"/>
      <c r="NH12" s="332"/>
      <c r="NI12" s="332"/>
      <c r="NJ12" s="332"/>
      <c r="NK12" s="332"/>
      <c r="NL12" s="332"/>
      <c r="NM12" s="332"/>
      <c r="NN12" s="332"/>
      <c r="NO12" s="332"/>
      <c r="NP12" s="332"/>
      <c r="NQ12" s="332"/>
      <c r="NR12" s="332"/>
      <c r="NS12" s="332"/>
      <c r="NT12" s="332"/>
      <c r="NU12" s="332"/>
      <c r="NV12" s="332"/>
      <c r="NW12" s="332"/>
      <c r="NX12" s="332"/>
      <c r="NY12" s="332"/>
      <c r="NZ12" s="332"/>
      <c r="OA12" s="332"/>
      <c r="OB12" s="332"/>
      <c r="OC12" s="332"/>
      <c r="OD12" s="332"/>
      <c r="OE12" s="332"/>
      <c r="OF12" s="332"/>
      <c r="OG12" s="332"/>
      <c r="OH12" s="332"/>
      <c r="OI12" s="332"/>
      <c r="OJ12" s="332"/>
      <c r="OK12" s="332"/>
      <c r="OL12" s="332"/>
      <c r="OM12" s="332"/>
      <c r="ON12" s="332"/>
      <c r="OO12" s="332"/>
      <c r="OP12" s="332"/>
      <c r="OQ12" s="332"/>
      <c r="OR12" s="332"/>
      <c r="OS12" s="332"/>
      <c r="OT12" s="332"/>
      <c r="OU12" s="332"/>
      <c r="OV12" s="332"/>
      <c r="OW12" s="332"/>
      <c r="OX12" s="332"/>
      <c r="OY12" s="332"/>
      <c r="OZ12" s="332"/>
      <c r="PA12" s="332"/>
      <c r="PB12" s="332"/>
      <c r="PC12" s="332"/>
      <c r="PD12" s="332"/>
      <c r="PE12" s="332"/>
      <c r="PF12" s="332"/>
      <c r="PG12" s="332"/>
      <c r="PH12" s="332"/>
      <c r="PI12" s="332"/>
      <c r="PJ12" s="332"/>
      <c r="PK12" s="332"/>
      <c r="PL12" s="332"/>
      <c r="PM12" s="332"/>
      <c r="PN12" s="332"/>
      <c r="PO12" s="332"/>
      <c r="PP12" s="332"/>
      <c r="PQ12" s="332"/>
      <c r="PR12" s="332"/>
      <c r="PS12" s="332"/>
      <c r="PT12" s="332"/>
      <c r="PU12" s="332"/>
      <c r="PV12" s="332"/>
      <c r="PW12" s="332"/>
      <c r="PX12" s="332"/>
      <c r="PY12" s="332"/>
      <c r="PZ12" s="332"/>
      <c r="QA12" s="332"/>
      <c r="QB12" s="332"/>
      <c r="QC12" s="332"/>
      <c r="QD12" s="332"/>
      <c r="QE12" s="332"/>
      <c r="QF12" s="332"/>
      <c r="QG12" s="332"/>
      <c r="QH12" s="332"/>
      <c r="QI12" s="332"/>
      <c r="QJ12" s="332"/>
      <c r="QK12" s="332"/>
      <c r="QL12" s="332"/>
      <c r="QM12" s="332"/>
      <c r="QN12" s="332"/>
      <c r="QO12" s="332"/>
      <c r="QP12" s="332"/>
      <c r="QQ12" s="332"/>
      <c r="QR12" s="332"/>
      <c r="QS12" s="332"/>
      <c r="QT12" s="332"/>
      <c r="QU12" s="332"/>
      <c r="QV12" s="332"/>
      <c r="QW12" s="332"/>
      <c r="QX12" s="332"/>
      <c r="QY12" s="332"/>
      <c r="QZ12" s="332"/>
      <c r="RA12" s="332"/>
      <c r="RB12" s="332"/>
      <c r="RC12" s="332"/>
      <c r="RD12" s="332"/>
      <c r="RE12" s="332"/>
      <c r="RF12" s="332"/>
      <c r="RG12" s="332"/>
      <c r="RH12" s="332"/>
      <c r="RI12" s="332"/>
      <c r="RJ12" s="332"/>
      <c r="RK12" s="332"/>
      <c r="RL12" s="332"/>
      <c r="RM12" s="332"/>
      <c r="RN12" s="332"/>
      <c r="RO12" s="332"/>
      <c r="RP12" s="332"/>
      <c r="RQ12" s="332"/>
      <c r="RR12" s="332"/>
      <c r="RS12" s="332"/>
      <c r="RT12" s="332"/>
      <c r="RU12" s="332"/>
      <c r="RV12" s="332"/>
      <c r="RW12" s="332"/>
      <c r="RX12" s="332"/>
      <c r="RY12" s="332"/>
      <c r="RZ12" s="332"/>
      <c r="SA12" s="332"/>
      <c r="SB12" s="332"/>
      <c r="SC12" s="332"/>
      <c r="SD12" s="332"/>
      <c r="SE12" s="332"/>
      <c r="SF12" s="332"/>
      <c r="SG12" s="332"/>
      <c r="SH12" s="332"/>
      <c r="SI12" s="332"/>
      <c r="SJ12" s="332"/>
      <c r="SK12" s="332"/>
      <c r="SL12" s="332"/>
      <c r="SM12" s="332"/>
      <c r="SN12" s="332"/>
      <c r="SO12" s="332"/>
      <c r="SP12" s="332"/>
      <c r="SQ12" s="332"/>
      <c r="SR12" s="332"/>
      <c r="SS12" s="332"/>
      <c r="ST12" s="332"/>
      <c r="SU12" s="332"/>
      <c r="SV12" s="332"/>
      <c r="SW12" s="332"/>
      <c r="SX12" s="332"/>
      <c r="SY12" s="332"/>
      <c r="SZ12" s="332"/>
      <c r="TA12" s="332"/>
      <c r="TB12" s="332"/>
      <c r="TC12" s="332"/>
      <c r="TD12" s="332"/>
      <c r="TE12" s="332"/>
      <c r="TF12" s="332"/>
      <c r="TG12" s="332"/>
      <c r="TH12" s="332"/>
      <c r="TI12" s="332"/>
      <c r="TJ12" s="332"/>
      <c r="TK12" s="332"/>
      <c r="TL12" s="332"/>
      <c r="TM12" s="332"/>
      <c r="TN12" s="332"/>
      <c r="TO12" s="332"/>
      <c r="TP12" s="332"/>
      <c r="TQ12" s="332"/>
      <c r="TR12" s="332"/>
      <c r="TS12" s="332"/>
      <c r="TT12" s="332"/>
      <c r="TU12" s="332"/>
      <c r="TV12" s="332"/>
      <c r="TW12" s="332"/>
      <c r="TX12" s="332"/>
      <c r="TY12" s="332"/>
      <c r="TZ12" s="332"/>
      <c r="UA12" s="332"/>
      <c r="UB12" s="332"/>
      <c r="UC12" s="332"/>
      <c r="UD12" s="332"/>
      <c r="UE12" s="332"/>
      <c r="UF12" s="332"/>
      <c r="UG12" s="332"/>
      <c r="UH12" s="332"/>
      <c r="UI12" s="332"/>
      <c r="UJ12" s="332"/>
      <c r="UK12" s="332"/>
      <c r="UL12" s="332"/>
      <c r="UM12" s="332"/>
    </row>
    <row r="13" spans="1:565" s="133" customFormat="1" ht="12.75" customHeight="1">
      <c r="A13" s="118"/>
      <c r="B13" s="118"/>
      <c r="C13" s="118"/>
      <c r="D13" s="118"/>
      <c r="E13" s="118"/>
      <c r="F13" s="118"/>
      <c r="G13" s="118"/>
      <c r="H13" s="118"/>
      <c r="I13" s="118"/>
      <c r="J13" s="249"/>
      <c r="K13" s="121"/>
      <c r="L13" s="136"/>
      <c r="M13" s="121"/>
      <c r="N13" s="121"/>
      <c r="O13" s="142"/>
      <c r="P13" s="142"/>
      <c r="Q13" s="121"/>
      <c r="R13" s="121"/>
      <c r="S13" s="121"/>
      <c r="T13" s="121"/>
      <c r="U13" s="121"/>
      <c r="V13" s="121"/>
      <c r="W13" s="121"/>
      <c r="X13" s="121"/>
      <c r="Y13" s="125"/>
      <c r="Z13" s="125"/>
      <c r="AA13" s="125"/>
      <c r="AB13" s="139"/>
      <c r="AC13" s="124"/>
      <c r="AD13" s="139"/>
      <c r="AE13" s="141"/>
      <c r="AF13" s="141"/>
      <c r="AG13" s="143"/>
      <c r="AH13" s="141"/>
      <c r="AI13" s="141"/>
      <c r="AJ13" s="332"/>
      <c r="AK13" s="332"/>
      <c r="AL13" s="332"/>
      <c r="AM13" s="332"/>
      <c r="AN13" s="332"/>
      <c r="AO13" s="332"/>
      <c r="AP13" s="332"/>
      <c r="AQ13" s="332"/>
      <c r="AR13" s="332"/>
      <c r="AS13" s="332"/>
      <c r="AT13" s="332"/>
      <c r="AU13" s="332"/>
      <c r="AV13" s="332"/>
      <c r="AW13" s="332"/>
      <c r="AX13" s="332"/>
      <c r="AY13" s="332"/>
      <c r="AZ13" s="332"/>
      <c r="BA13" s="332"/>
      <c r="BB13" s="332"/>
      <c r="BC13" s="332"/>
      <c r="BD13" s="332"/>
      <c r="BE13" s="332"/>
      <c r="BF13" s="332"/>
      <c r="BG13" s="332"/>
      <c r="BH13" s="332"/>
      <c r="BI13" s="332"/>
      <c r="BJ13" s="332"/>
      <c r="BK13" s="332"/>
      <c r="BL13" s="332"/>
      <c r="BM13" s="332"/>
      <c r="BN13" s="332"/>
      <c r="BO13" s="332"/>
      <c r="BP13" s="332"/>
      <c r="BQ13" s="332"/>
      <c r="BR13" s="332"/>
      <c r="BS13" s="332"/>
      <c r="BT13" s="332"/>
      <c r="BU13" s="332"/>
      <c r="BV13" s="332"/>
      <c r="BW13" s="332"/>
      <c r="BX13" s="332"/>
      <c r="BY13" s="332"/>
      <c r="BZ13" s="332"/>
      <c r="CA13" s="332"/>
      <c r="CB13" s="332"/>
      <c r="CC13" s="332"/>
      <c r="CD13" s="332"/>
      <c r="CE13" s="332"/>
      <c r="CF13" s="332"/>
      <c r="CG13" s="332"/>
      <c r="CH13" s="332"/>
      <c r="CI13" s="332"/>
      <c r="CJ13" s="332"/>
      <c r="CK13" s="332"/>
      <c r="CL13" s="332"/>
      <c r="CM13" s="332"/>
      <c r="CN13" s="332"/>
      <c r="CO13" s="332"/>
      <c r="CP13" s="332"/>
      <c r="CQ13" s="332"/>
      <c r="CR13" s="332"/>
      <c r="CS13" s="332"/>
      <c r="CT13" s="332"/>
      <c r="CU13" s="332"/>
      <c r="CV13" s="332"/>
      <c r="CW13" s="332"/>
      <c r="CX13" s="332"/>
      <c r="CY13" s="332"/>
      <c r="CZ13" s="332"/>
      <c r="DA13" s="332"/>
      <c r="DB13" s="332"/>
      <c r="DC13" s="332"/>
      <c r="DD13" s="332"/>
      <c r="DE13" s="332"/>
      <c r="DF13" s="332"/>
      <c r="DG13" s="332"/>
      <c r="DH13" s="332"/>
      <c r="DI13" s="332"/>
      <c r="DJ13" s="332"/>
      <c r="DK13" s="332"/>
      <c r="DL13" s="332"/>
      <c r="DM13" s="332"/>
      <c r="DN13" s="332"/>
      <c r="DO13" s="332"/>
      <c r="DP13" s="332"/>
      <c r="DQ13" s="332"/>
      <c r="DR13" s="332"/>
      <c r="DS13" s="332"/>
      <c r="DT13" s="332"/>
      <c r="DU13" s="332"/>
      <c r="DV13" s="332"/>
      <c r="DW13" s="332"/>
      <c r="DX13" s="332"/>
      <c r="DY13" s="332"/>
      <c r="DZ13" s="332"/>
      <c r="EA13" s="332"/>
      <c r="EB13" s="332"/>
      <c r="EC13" s="332"/>
      <c r="ED13" s="332"/>
      <c r="EE13" s="332"/>
      <c r="EF13" s="332"/>
      <c r="EG13" s="332"/>
      <c r="EH13" s="332"/>
      <c r="EI13" s="332"/>
      <c r="EJ13" s="332"/>
      <c r="EK13" s="332"/>
      <c r="EL13" s="332"/>
      <c r="EM13" s="332"/>
      <c r="EN13" s="332"/>
      <c r="EO13" s="332"/>
      <c r="EP13" s="332"/>
      <c r="EQ13" s="332"/>
      <c r="ER13" s="332"/>
      <c r="ES13" s="332"/>
      <c r="ET13" s="332"/>
      <c r="EU13" s="332"/>
      <c r="EV13" s="332"/>
      <c r="EW13" s="332"/>
      <c r="EX13" s="332"/>
      <c r="EY13" s="332"/>
      <c r="EZ13" s="332"/>
      <c r="FA13" s="332"/>
      <c r="FB13" s="332"/>
      <c r="FC13" s="332"/>
      <c r="FD13" s="332"/>
      <c r="FE13" s="332"/>
      <c r="FF13" s="332"/>
      <c r="FG13" s="332"/>
      <c r="FH13" s="332"/>
      <c r="FI13" s="332"/>
      <c r="FJ13" s="332"/>
      <c r="FK13" s="332"/>
      <c r="FL13" s="332"/>
      <c r="FM13" s="332"/>
      <c r="FN13" s="332"/>
      <c r="FO13" s="332"/>
      <c r="FP13" s="332"/>
      <c r="FQ13" s="332"/>
      <c r="FR13" s="332"/>
      <c r="FS13" s="332"/>
      <c r="FT13" s="332"/>
      <c r="FU13" s="332"/>
      <c r="FV13" s="332"/>
      <c r="FW13" s="332"/>
      <c r="FX13" s="332"/>
      <c r="FY13" s="332"/>
      <c r="FZ13" s="332"/>
      <c r="GA13" s="332"/>
      <c r="GB13" s="332"/>
      <c r="GC13" s="332"/>
      <c r="GD13" s="332"/>
      <c r="GE13" s="332"/>
      <c r="GF13" s="332"/>
      <c r="GG13" s="332"/>
      <c r="GH13" s="332"/>
      <c r="GI13" s="332"/>
      <c r="GJ13" s="332"/>
      <c r="GK13" s="332"/>
      <c r="GL13" s="332"/>
      <c r="GM13" s="332"/>
      <c r="GN13" s="332"/>
      <c r="GO13" s="332"/>
      <c r="GP13" s="332"/>
      <c r="GQ13" s="332"/>
      <c r="GR13" s="332"/>
      <c r="GS13" s="332"/>
      <c r="GT13" s="332"/>
      <c r="GU13" s="332"/>
      <c r="GV13" s="332"/>
      <c r="GW13" s="332"/>
      <c r="GX13" s="332"/>
      <c r="GY13" s="332"/>
      <c r="GZ13" s="332"/>
      <c r="HA13" s="332"/>
      <c r="HB13" s="332"/>
      <c r="HC13" s="332"/>
      <c r="HD13" s="332"/>
      <c r="HE13" s="332"/>
      <c r="HF13" s="332"/>
      <c r="HG13" s="332"/>
      <c r="HH13" s="332"/>
      <c r="HI13" s="332"/>
      <c r="HJ13" s="332"/>
      <c r="HK13" s="332"/>
      <c r="HL13" s="332"/>
      <c r="HM13" s="332"/>
      <c r="HN13" s="332"/>
      <c r="HO13" s="332"/>
      <c r="HP13" s="332"/>
      <c r="HQ13" s="332"/>
      <c r="HR13" s="332"/>
      <c r="HS13" s="332"/>
      <c r="HT13" s="332"/>
      <c r="HU13" s="332"/>
      <c r="HV13" s="332"/>
      <c r="HW13" s="332"/>
      <c r="HX13" s="332"/>
      <c r="HY13" s="332"/>
      <c r="HZ13" s="332"/>
      <c r="IA13" s="332"/>
      <c r="IB13" s="332"/>
      <c r="IC13" s="332"/>
      <c r="ID13" s="332"/>
      <c r="IE13" s="332"/>
      <c r="IF13" s="332"/>
      <c r="IG13" s="332"/>
      <c r="IH13" s="332"/>
      <c r="II13" s="332"/>
      <c r="IJ13" s="332"/>
      <c r="IK13" s="332"/>
      <c r="IL13" s="332"/>
      <c r="IM13" s="332"/>
      <c r="IN13" s="332"/>
      <c r="IO13" s="332"/>
      <c r="IP13" s="332"/>
      <c r="IQ13" s="332"/>
      <c r="IR13" s="332"/>
      <c r="IS13" s="332"/>
      <c r="IT13" s="332"/>
      <c r="IU13" s="332"/>
      <c r="IV13" s="332"/>
      <c r="IW13" s="332"/>
      <c r="IX13" s="332"/>
      <c r="IY13" s="332"/>
      <c r="IZ13" s="332"/>
      <c r="JA13" s="332"/>
      <c r="JB13" s="332"/>
      <c r="JC13" s="332"/>
      <c r="JD13" s="332"/>
      <c r="JE13" s="332"/>
      <c r="JF13" s="332"/>
      <c r="JG13" s="332"/>
      <c r="JH13" s="332"/>
      <c r="JI13" s="332"/>
      <c r="JJ13" s="332"/>
      <c r="JK13" s="332"/>
      <c r="JL13" s="332"/>
      <c r="JM13" s="332"/>
      <c r="JN13" s="332"/>
      <c r="JO13" s="332"/>
      <c r="JP13" s="332"/>
      <c r="JQ13" s="332"/>
      <c r="JR13" s="332"/>
      <c r="JS13" s="332"/>
      <c r="JT13" s="332"/>
      <c r="JU13" s="332"/>
      <c r="JV13" s="332"/>
      <c r="JW13" s="332"/>
      <c r="JX13" s="332"/>
      <c r="JY13" s="332"/>
      <c r="JZ13" s="332"/>
      <c r="KA13" s="332"/>
      <c r="KB13" s="332"/>
      <c r="KC13" s="332"/>
      <c r="KD13" s="332"/>
      <c r="KE13" s="332"/>
      <c r="KF13" s="332"/>
      <c r="KG13" s="332"/>
      <c r="KH13" s="332"/>
      <c r="KI13" s="332"/>
      <c r="KJ13" s="332"/>
      <c r="KK13" s="332"/>
      <c r="KL13" s="332"/>
      <c r="KM13" s="332"/>
      <c r="KN13" s="332"/>
      <c r="KO13" s="332"/>
      <c r="KP13" s="332"/>
      <c r="KQ13" s="332"/>
      <c r="KR13" s="332"/>
      <c r="KS13" s="332"/>
      <c r="KT13" s="332"/>
      <c r="KU13" s="332"/>
      <c r="KV13" s="332"/>
      <c r="KW13" s="332"/>
      <c r="KX13" s="332"/>
      <c r="KY13" s="332"/>
      <c r="KZ13" s="332"/>
      <c r="LA13" s="332"/>
      <c r="LB13" s="332"/>
      <c r="LC13" s="332"/>
      <c r="LD13" s="332"/>
      <c r="LE13" s="332"/>
      <c r="LF13" s="332"/>
      <c r="LG13" s="332"/>
      <c r="LH13" s="332"/>
      <c r="LI13" s="332"/>
      <c r="LJ13" s="332"/>
      <c r="LK13" s="332"/>
      <c r="LL13" s="332"/>
      <c r="LM13" s="332"/>
      <c r="LN13" s="332"/>
      <c r="LO13" s="332"/>
      <c r="LP13" s="332"/>
      <c r="LQ13" s="332"/>
      <c r="LR13" s="332"/>
      <c r="LS13" s="332"/>
      <c r="LT13" s="332"/>
      <c r="LU13" s="332"/>
      <c r="LV13" s="332"/>
      <c r="LW13" s="332"/>
      <c r="LX13" s="332"/>
      <c r="LY13" s="332"/>
      <c r="LZ13" s="332"/>
      <c r="MA13" s="332"/>
      <c r="MB13" s="332"/>
      <c r="MC13" s="332"/>
      <c r="MD13" s="332"/>
      <c r="ME13" s="332"/>
      <c r="MF13" s="332"/>
      <c r="MG13" s="332"/>
      <c r="MH13" s="332"/>
      <c r="MI13" s="332"/>
      <c r="MJ13" s="332"/>
      <c r="MK13" s="332"/>
      <c r="ML13" s="332"/>
      <c r="MM13" s="332"/>
      <c r="MN13" s="332"/>
      <c r="MO13" s="332"/>
      <c r="MP13" s="332"/>
      <c r="MQ13" s="332"/>
      <c r="MR13" s="332"/>
      <c r="MS13" s="332"/>
      <c r="MT13" s="332"/>
      <c r="MU13" s="332"/>
      <c r="MV13" s="332"/>
      <c r="MW13" s="332"/>
      <c r="MX13" s="332"/>
      <c r="MY13" s="332"/>
      <c r="MZ13" s="332"/>
      <c r="NA13" s="332"/>
      <c r="NB13" s="332"/>
      <c r="NC13" s="332"/>
      <c r="ND13" s="332"/>
      <c r="NE13" s="332"/>
      <c r="NF13" s="332"/>
      <c r="NG13" s="332"/>
      <c r="NH13" s="332"/>
      <c r="NI13" s="332"/>
      <c r="NJ13" s="332"/>
      <c r="NK13" s="332"/>
      <c r="NL13" s="332"/>
      <c r="NM13" s="332"/>
      <c r="NN13" s="332"/>
      <c r="NO13" s="332"/>
      <c r="NP13" s="332"/>
      <c r="NQ13" s="332"/>
      <c r="NR13" s="332"/>
      <c r="NS13" s="332"/>
      <c r="NT13" s="332"/>
      <c r="NU13" s="332"/>
      <c r="NV13" s="332"/>
      <c r="NW13" s="332"/>
      <c r="NX13" s="332"/>
      <c r="NY13" s="332"/>
      <c r="NZ13" s="332"/>
      <c r="OA13" s="332"/>
      <c r="OB13" s="332"/>
      <c r="OC13" s="332"/>
      <c r="OD13" s="332"/>
      <c r="OE13" s="332"/>
      <c r="OF13" s="332"/>
      <c r="OG13" s="332"/>
      <c r="OH13" s="332"/>
      <c r="OI13" s="332"/>
      <c r="OJ13" s="332"/>
      <c r="OK13" s="332"/>
      <c r="OL13" s="332"/>
      <c r="OM13" s="332"/>
      <c r="ON13" s="332"/>
      <c r="OO13" s="332"/>
      <c r="OP13" s="332"/>
      <c r="OQ13" s="332"/>
      <c r="OR13" s="332"/>
      <c r="OS13" s="332"/>
      <c r="OT13" s="332"/>
      <c r="OU13" s="332"/>
      <c r="OV13" s="332"/>
      <c r="OW13" s="332"/>
      <c r="OX13" s="332"/>
      <c r="OY13" s="332"/>
      <c r="OZ13" s="332"/>
      <c r="PA13" s="332"/>
      <c r="PB13" s="332"/>
      <c r="PC13" s="332"/>
      <c r="PD13" s="332"/>
      <c r="PE13" s="332"/>
      <c r="PF13" s="332"/>
      <c r="PG13" s="332"/>
      <c r="PH13" s="332"/>
      <c r="PI13" s="332"/>
      <c r="PJ13" s="332"/>
      <c r="PK13" s="332"/>
      <c r="PL13" s="332"/>
      <c r="PM13" s="332"/>
      <c r="PN13" s="332"/>
      <c r="PO13" s="332"/>
      <c r="PP13" s="332"/>
      <c r="PQ13" s="332"/>
      <c r="PR13" s="332"/>
      <c r="PS13" s="332"/>
      <c r="PT13" s="332"/>
      <c r="PU13" s="332"/>
      <c r="PV13" s="332"/>
      <c r="PW13" s="332"/>
      <c r="PX13" s="332"/>
      <c r="PY13" s="332"/>
      <c r="PZ13" s="332"/>
      <c r="QA13" s="332"/>
      <c r="QB13" s="332"/>
      <c r="QC13" s="332"/>
      <c r="QD13" s="332"/>
      <c r="QE13" s="332"/>
      <c r="QF13" s="332"/>
      <c r="QG13" s="332"/>
      <c r="QH13" s="332"/>
      <c r="QI13" s="332"/>
      <c r="QJ13" s="332"/>
      <c r="QK13" s="332"/>
      <c r="QL13" s="332"/>
      <c r="QM13" s="332"/>
      <c r="QN13" s="332"/>
      <c r="QO13" s="332"/>
      <c r="QP13" s="332"/>
      <c r="QQ13" s="332"/>
      <c r="QR13" s="332"/>
      <c r="QS13" s="332"/>
      <c r="QT13" s="332"/>
      <c r="QU13" s="332"/>
      <c r="QV13" s="332"/>
      <c r="QW13" s="332"/>
      <c r="QX13" s="332"/>
      <c r="QY13" s="332"/>
      <c r="QZ13" s="332"/>
      <c r="RA13" s="332"/>
      <c r="RB13" s="332"/>
      <c r="RC13" s="332"/>
      <c r="RD13" s="332"/>
      <c r="RE13" s="332"/>
      <c r="RF13" s="332"/>
      <c r="RG13" s="332"/>
      <c r="RH13" s="332"/>
      <c r="RI13" s="332"/>
      <c r="RJ13" s="332"/>
      <c r="RK13" s="332"/>
      <c r="RL13" s="332"/>
      <c r="RM13" s="332"/>
      <c r="RN13" s="332"/>
      <c r="RO13" s="332"/>
      <c r="RP13" s="332"/>
      <c r="RQ13" s="332"/>
      <c r="RR13" s="332"/>
      <c r="RS13" s="332"/>
      <c r="RT13" s="332"/>
      <c r="RU13" s="332"/>
      <c r="RV13" s="332"/>
      <c r="RW13" s="332"/>
      <c r="RX13" s="332"/>
      <c r="RY13" s="332"/>
      <c r="RZ13" s="332"/>
      <c r="SA13" s="332"/>
      <c r="SB13" s="332"/>
      <c r="SC13" s="332"/>
      <c r="SD13" s="332"/>
      <c r="SE13" s="332"/>
      <c r="SF13" s="332"/>
      <c r="SG13" s="332"/>
      <c r="SH13" s="332"/>
      <c r="SI13" s="332"/>
      <c r="SJ13" s="332"/>
      <c r="SK13" s="332"/>
      <c r="SL13" s="332"/>
      <c r="SM13" s="332"/>
      <c r="SN13" s="332"/>
      <c r="SO13" s="332"/>
      <c r="SP13" s="332"/>
      <c r="SQ13" s="332"/>
      <c r="SR13" s="332"/>
      <c r="SS13" s="332"/>
      <c r="ST13" s="332"/>
      <c r="SU13" s="332"/>
      <c r="SV13" s="332"/>
      <c r="SW13" s="332"/>
      <c r="SX13" s="332"/>
      <c r="SY13" s="332"/>
      <c r="SZ13" s="332"/>
      <c r="TA13" s="332"/>
      <c r="TB13" s="332"/>
      <c r="TC13" s="332"/>
      <c r="TD13" s="332"/>
      <c r="TE13" s="332"/>
      <c r="TF13" s="332"/>
      <c r="TG13" s="332"/>
      <c r="TH13" s="332"/>
      <c r="TI13" s="332"/>
      <c r="TJ13" s="332"/>
      <c r="TK13" s="332"/>
      <c r="TL13" s="332"/>
      <c r="TM13" s="332"/>
      <c r="TN13" s="332"/>
      <c r="TO13" s="332"/>
      <c r="TP13" s="332"/>
      <c r="TQ13" s="332"/>
      <c r="TR13" s="332"/>
      <c r="TS13" s="332"/>
      <c r="TT13" s="332"/>
      <c r="TU13" s="332"/>
      <c r="TV13" s="332"/>
      <c r="TW13" s="332"/>
      <c r="TX13" s="332"/>
      <c r="TY13" s="332"/>
      <c r="TZ13" s="332"/>
      <c r="UA13" s="332"/>
      <c r="UB13" s="332"/>
      <c r="UC13" s="332"/>
      <c r="UD13" s="332"/>
      <c r="UE13" s="332"/>
      <c r="UF13" s="332"/>
      <c r="UG13" s="332"/>
      <c r="UH13" s="332"/>
      <c r="UI13" s="332"/>
      <c r="UJ13" s="332"/>
      <c r="UK13" s="332"/>
      <c r="UL13" s="332"/>
      <c r="UM13" s="332"/>
    </row>
    <row r="14" spans="1:565" s="133" customFormat="1" ht="20.25" hidden="1" customHeight="1">
      <c r="A14" s="112"/>
      <c r="B14" s="112"/>
      <c r="C14" s="112"/>
      <c r="D14" s="112"/>
      <c r="E14" s="112"/>
      <c r="F14" s="112"/>
      <c r="G14" s="112"/>
      <c r="H14" s="112"/>
      <c r="I14" s="112"/>
      <c r="J14" s="250"/>
      <c r="K14" s="112"/>
      <c r="L14" s="113"/>
      <c r="M14" s="112"/>
      <c r="N14" s="112"/>
      <c r="O14" s="112"/>
      <c r="P14" s="114" t="str">
        <f>IF($AG$14="%",P15,"")</f>
        <v>Resp.</v>
      </c>
      <c r="Q14" s="42" t="str">
        <f>IF($AG$14="%",Q15,"")</f>
        <v>Couleurs</v>
      </c>
      <c r="R14" s="42" t="str">
        <f>IF($AG$14="%",R15,"")</f>
        <v>Niv. Taches</v>
      </c>
      <c r="S14" s="114" t="str">
        <f>IF($AG$14="%",S15,"")</f>
        <v>Début</v>
      </c>
      <c r="T14" s="114" t="str">
        <f>IF($AG$14="%",T15,"")</f>
        <v>Durée</v>
      </c>
      <c r="U14" s="114"/>
      <c r="V14" s="114" t="str">
        <f>IF($AG$14="%",V15,"")</f>
        <v>Recal. Dur.</v>
      </c>
      <c r="W14" s="42" t="str">
        <f>IF($AG$14="%",W15,"")</f>
        <v>Jours ouvrés</v>
      </c>
      <c r="X14" s="42" t="str">
        <f>IF($AG$14="%",X15,"")</f>
        <v>Normal</v>
      </c>
      <c r="Y14" s="114" t="str">
        <f>IF($AG$14="%",Y15,"")</f>
        <v>Échéance</v>
      </c>
      <c r="Z14" s="114"/>
      <c r="AA14" s="114"/>
      <c r="AB14" s="271" t="str">
        <f>IF($AG$14="%",AB15,"")</f>
        <v>Statut</v>
      </c>
      <c r="AC14" s="271"/>
      <c r="AD14" s="271"/>
      <c r="AE14" s="114" t="str">
        <f>IF($AG$14="%",AE15,"")</f>
        <v>Estim.</v>
      </c>
      <c r="AF14" s="114" t="str">
        <f>IF($AG$14="%",AF15,"")</f>
        <v>Réel</v>
      </c>
      <c r="AG14" s="345" t="s">
        <v>36</v>
      </c>
      <c r="AH14" s="346"/>
      <c r="AI14" s="114" t="str">
        <f>IF($AG$14="%",AI15,"")</f>
        <v>Commentaires</v>
      </c>
      <c r="AJ14" s="115"/>
      <c r="AK14" s="115" t="s">
        <v>1007</v>
      </c>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t="s">
        <v>1008</v>
      </c>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c r="HG14" s="115"/>
      <c r="HH14" s="115"/>
      <c r="HI14" s="115"/>
      <c r="HJ14" s="115" t="s">
        <v>1009</v>
      </c>
      <c r="HK14" s="115"/>
      <c r="HL14" s="115"/>
      <c r="HM14" s="115"/>
      <c r="HN14" s="115"/>
      <c r="HO14" s="115"/>
      <c r="HP14" s="115"/>
      <c r="HQ14" s="115"/>
      <c r="HR14" s="115"/>
      <c r="HS14" s="115"/>
      <c r="HT14" s="115"/>
      <c r="HU14" s="115"/>
      <c r="HV14" s="115"/>
      <c r="HW14" s="115"/>
      <c r="HX14" s="115"/>
      <c r="HY14" s="115"/>
      <c r="HZ14" s="115"/>
      <c r="IA14" s="115"/>
      <c r="IB14" s="115"/>
      <c r="IC14" s="115"/>
      <c r="ID14" s="115"/>
      <c r="IE14" s="115"/>
      <c r="IF14" s="115"/>
      <c r="IG14" s="115"/>
      <c r="IH14" s="115"/>
      <c r="II14" s="115"/>
      <c r="IJ14" s="115"/>
      <c r="IK14" s="115"/>
      <c r="IL14" s="115"/>
      <c r="IM14" s="115"/>
      <c r="IN14" s="115"/>
      <c r="IO14" s="115"/>
      <c r="IP14" s="115"/>
      <c r="IQ14" s="115"/>
      <c r="IR14" s="115"/>
      <c r="IS14" s="115"/>
      <c r="IT14" s="115"/>
      <c r="IU14" s="115"/>
      <c r="IV14" s="115"/>
      <c r="IW14" s="115"/>
      <c r="IX14" s="115"/>
      <c r="IY14" s="115"/>
      <c r="IZ14" s="115"/>
      <c r="JA14" s="115"/>
      <c r="JB14" s="115"/>
      <c r="JC14" s="115"/>
      <c r="JD14" s="115"/>
      <c r="JE14" s="115"/>
      <c r="JF14" s="115"/>
      <c r="JG14" s="115"/>
      <c r="JH14" s="115"/>
      <c r="JI14" s="115"/>
      <c r="JJ14" s="115"/>
      <c r="JK14" s="115"/>
      <c r="JL14" s="115"/>
      <c r="JM14" s="115"/>
      <c r="JN14" s="115"/>
      <c r="JO14" s="115"/>
      <c r="JP14" s="115"/>
      <c r="JQ14" s="115"/>
      <c r="JR14" s="115"/>
      <c r="JS14" s="115"/>
      <c r="JT14" s="115"/>
      <c r="JU14" s="115"/>
      <c r="JV14" s="115"/>
      <c r="JW14" s="115"/>
      <c r="JX14" s="115"/>
      <c r="JY14" s="115"/>
      <c r="JZ14" s="115"/>
      <c r="KA14" s="115"/>
      <c r="KB14" s="115"/>
      <c r="KC14" s="115"/>
      <c r="KD14" s="115"/>
      <c r="KE14" s="115"/>
      <c r="KF14" s="115"/>
      <c r="KG14" s="115"/>
      <c r="KH14" s="115"/>
      <c r="KI14" s="115"/>
      <c r="KJ14" s="115"/>
      <c r="KK14" s="115"/>
      <c r="KL14" s="115"/>
      <c r="KM14" s="115"/>
      <c r="KN14" s="115"/>
      <c r="KO14" s="115"/>
      <c r="KP14" s="115"/>
      <c r="KQ14" s="115"/>
      <c r="KR14" s="115"/>
      <c r="KS14" s="115"/>
      <c r="KT14" s="115"/>
      <c r="KU14" s="115"/>
      <c r="KV14" s="115"/>
      <c r="KW14" s="115"/>
      <c r="KX14" s="115" t="s">
        <v>1010</v>
      </c>
      <c r="KY14" s="115"/>
      <c r="KZ14" s="115"/>
      <c r="LA14" s="115"/>
      <c r="LB14" s="115"/>
      <c r="LC14" s="115"/>
      <c r="LD14" s="115"/>
      <c r="LE14" s="115"/>
      <c r="LF14" s="115"/>
      <c r="LG14" s="115"/>
      <c r="LH14" s="115"/>
      <c r="LI14" s="115"/>
      <c r="LJ14" s="115"/>
      <c r="LK14" s="115"/>
      <c r="LL14" s="115"/>
      <c r="LM14" s="115"/>
      <c r="LN14" s="115"/>
      <c r="LO14" s="115"/>
      <c r="LP14" s="115"/>
      <c r="LQ14" s="115"/>
      <c r="LR14" s="115"/>
      <c r="LS14" s="115"/>
      <c r="LT14" s="115"/>
      <c r="LU14" s="115"/>
      <c r="LV14" s="115"/>
      <c r="LW14" s="115"/>
      <c r="LX14" s="115"/>
      <c r="LY14" s="115"/>
      <c r="LZ14" s="115"/>
      <c r="MA14" s="115"/>
      <c r="MB14" s="115"/>
      <c r="MC14" s="115"/>
      <c r="MD14" s="115"/>
      <c r="ME14" s="115"/>
      <c r="MF14" s="115"/>
      <c r="MG14" s="115"/>
      <c r="MH14" s="115"/>
      <c r="MI14" s="115"/>
      <c r="MJ14" s="115"/>
      <c r="MK14" s="115"/>
      <c r="ML14" s="115"/>
      <c r="MM14" s="115"/>
      <c r="MN14" s="115"/>
      <c r="MO14" s="115"/>
      <c r="MP14" s="115"/>
      <c r="MQ14" s="115"/>
      <c r="MR14" s="115"/>
      <c r="MS14" s="115"/>
      <c r="MT14" s="115"/>
      <c r="MU14" s="115"/>
      <c r="MV14" s="115"/>
      <c r="MW14" s="115"/>
      <c r="MX14" s="115"/>
      <c r="MY14" s="115"/>
      <c r="MZ14" s="115"/>
      <c r="NA14" s="115"/>
      <c r="NB14" s="115"/>
      <c r="NC14" s="115"/>
      <c r="ND14" s="115"/>
      <c r="NE14" s="115"/>
      <c r="NF14" s="115"/>
      <c r="NG14" s="115"/>
      <c r="NH14" s="115"/>
      <c r="NI14" s="115"/>
      <c r="NJ14" s="115"/>
      <c r="NK14" s="115"/>
      <c r="NL14" s="115"/>
      <c r="NM14" s="115"/>
      <c r="NN14" s="115"/>
      <c r="NO14" s="115"/>
      <c r="NP14" s="115"/>
      <c r="NQ14" s="115"/>
      <c r="NR14" s="115"/>
      <c r="NS14" s="115"/>
      <c r="NT14" s="115"/>
      <c r="NU14" s="115"/>
      <c r="NV14" s="115"/>
      <c r="NW14" s="115"/>
      <c r="NX14" s="115"/>
      <c r="NY14" s="115"/>
      <c r="NZ14" s="115"/>
      <c r="OA14" s="115"/>
      <c r="OB14" s="115"/>
      <c r="OC14" s="115"/>
      <c r="OD14" s="115"/>
      <c r="OE14" s="115"/>
      <c r="OF14" s="115"/>
      <c r="OG14" s="115"/>
      <c r="OH14" s="115"/>
      <c r="OI14" s="115"/>
      <c r="OJ14" s="115"/>
      <c r="OK14" s="115"/>
      <c r="OL14" s="115" t="s">
        <v>1011</v>
      </c>
      <c r="OM14" s="115"/>
      <c r="ON14" s="115"/>
      <c r="OO14" s="115"/>
      <c r="OP14" s="115"/>
      <c r="OQ14" s="115"/>
      <c r="OR14" s="115"/>
      <c r="OS14" s="115"/>
      <c r="OT14" s="115"/>
      <c r="OU14" s="115"/>
      <c r="OV14" s="115"/>
      <c r="OW14" s="115"/>
      <c r="OX14" s="115"/>
      <c r="OY14" s="115"/>
      <c r="OZ14" s="115"/>
      <c r="PA14" s="115"/>
      <c r="PB14" s="115"/>
      <c r="PC14" s="115"/>
      <c r="PD14" s="115"/>
      <c r="PE14" s="115"/>
      <c r="PF14" s="115"/>
      <c r="PG14" s="115"/>
      <c r="PH14" s="115"/>
      <c r="PI14" s="115"/>
      <c r="PJ14" s="115"/>
      <c r="PK14" s="115"/>
      <c r="PL14" s="115"/>
      <c r="PM14" s="115"/>
      <c r="PN14" s="115"/>
      <c r="PO14" s="115"/>
      <c r="PP14" s="115"/>
      <c r="PQ14" s="115"/>
      <c r="PR14" s="115"/>
      <c r="PS14" s="115"/>
      <c r="PT14" s="115"/>
      <c r="PU14" s="115"/>
      <c r="PV14" s="115"/>
      <c r="PW14" s="115"/>
      <c r="PX14" s="115"/>
      <c r="PY14" s="115"/>
      <c r="PZ14" s="115"/>
      <c r="QA14" s="115"/>
      <c r="QB14" s="115"/>
      <c r="QC14" s="115"/>
      <c r="QD14" s="115"/>
      <c r="QE14" s="115"/>
      <c r="QF14" s="115"/>
      <c r="QG14" s="115"/>
      <c r="QH14" s="115"/>
      <c r="QI14" s="115"/>
      <c r="QJ14" s="115"/>
      <c r="QK14" s="115"/>
      <c r="QL14" s="115"/>
      <c r="QM14" s="115"/>
      <c r="QN14" s="115"/>
      <c r="QO14" s="115"/>
      <c r="QP14" s="115"/>
      <c r="QQ14" s="115"/>
      <c r="QR14" s="115"/>
      <c r="QS14" s="115"/>
      <c r="QT14" s="115"/>
      <c r="QU14" s="115"/>
      <c r="QV14" s="115"/>
      <c r="QW14" s="115"/>
      <c r="QX14" s="115"/>
      <c r="QY14" s="115"/>
      <c r="QZ14" s="115"/>
      <c r="RA14" s="115"/>
      <c r="RB14" s="115"/>
      <c r="RC14" s="115"/>
      <c r="RD14" s="115"/>
      <c r="RE14" s="115"/>
      <c r="RF14" s="115"/>
      <c r="RG14" s="115"/>
      <c r="RH14" s="115"/>
      <c r="RI14" s="115"/>
      <c r="RJ14" s="115"/>
      <c r="RK14" s="115"/>
      <c r="RL14" s="115"/>
      <c r="RM14" s="115"/>
      <c r="RN14" s="115"/>
      <c r="RO14" s="115"/>
      <c r="RP14" s="115"/>
      <c r="RQ14" s="115"/>
      <c r="RR14" s="115"/>
      <c r="RS14" s="115"/>
      <c r="RT14" s="115"/>
      <c r="RU14" s="115"/>
      <c r="RV14" s="115"/>
      <c r="RW14" s="115"/>
      <c r="RX14" s="115"/>
      <c r="RY14" s="115"/>
      <c r="RZ14" s="115" t="s">
        <v>1012</v>
      </c>
      <c r="SA14" s="115"/>
      <c r="SB14" s="115"/>
      <c r="SC14" s="115"/>
      <c r="SD14" s="115"/>
      <c r="SE14" s="115"/>
      <c r="SF14" s="115"/>
      <c r="SG14" s="115"/>
      <c r="SH14" s="115"/>
      <c r="SI14" s="115"/>
      <c r="SJ14" s="115"/>
      <c r="SK14" s="115"/>
      <c r="SL14" s="115"/>
      <c r="SM14" s="115"/>
      <c r="SN14" s="115"/>
      <c r="SO14" s="115"/>
      <c r="SP14" s="115"/>
      <c r="SQ14" s="115"/>
      <c r="SR14" s="115"/>
      <c r="SS14" s="115"/>
      <c r="ST14" s="115"/>
      <c r="SU14" s="115"/>
      <c r="SV14" s="115"/>
      <c r="SW14" s="115"/>
      <c r="SX14" s="115"/>
      <c r="SY14" s="115"/>
      <c r="SZ14" s="115"/>
      <c r="TA14" s="115"/>
      <c r="TB14" s="115"/>
      <c r="TC14" s="115"/>
      <c r="TD14" s="115"/>
      <c r="TE14" s="115"/>
      <c r="TF14" s="115"/>
      <c r="TG14" s="115"/>
      <c r="TH14" s="115"/>
      <c r="TI14" s="115"/>
      <c r="TJ14" s="115"/>
      <c r="TK14" s="115"/>
      <c r="TL14" s="115"/>
      <c r="TM14" s="115"/>
      <c r="TN14" s="115"/>
      <c r="TO14" s="115"/>
      <c r="TP14" s="115"/>
      <c r="TQ14" s="115"/>
      <c r="TR14" s="115"/>
      <c r="TS14" s="115"/>
      <c r="TT14" s="115"/>
      <c r="TU14" s="115"/>
      <c r="TV14" s="115"/>
      <c r="TW14" s="115"/>
      <c r="TX14" s="115"/>
      <c r="TY14" s="115"/>
      <c r="TZ14" s="115"/>
      <c r="UA14" s="115"/>
      <c r="UB14" s="115"/>
      <c r="UC14" s="115"/>
      <c r="UD14" s="115"/>
      <c r="UE14" s="115"/>
      <c r="UF14" s="115"/>
      <c r="UG14" s="115"/>
      <c r="UH14" s="115"/>
      <c r="UI14" s="115"/>
      <c r="UJ14" s="115"/>
      <c r="UK14" s="115"/>
      <c r="UL14" s="115"/>
      <c r="UM14" s="115"/>
    </row>
    <row r="15" spans="1:565" s="133" customFormat="1" ht="21" hidden="1" customHeight="1">
      <c r="A15" s="118"/>
      <c r="B15" s="118"/>
      <c r="C15" s="118"/>
      <c r="D15" s="118"/>
      <c r="E15" s="118"/>
      <c r="F15" s="118"/>
      <c r="G15" s="118"/>
      <c r="H15" s="118"/>
      <c r="I15" s="118"/>
      <c r="J15" s="249"/>
      <c r="K15" s="121"/>
      <c r="L15" s="136"/>
      <c r="M15" s="121"/>
      <c r="N15" s="121"/>
      <c r="O15" s="121"/>
      <c r="P15" s="114" t="s">
        <v>1663</v>
      </c>
      <c r="Q15" s="42" t="s">
        <v>729</v>
      </c>
      <c r="R15" s="42" t="s">
        <v>1006</v>
      </c>
      <c r="S15" s="114" t="s">
        <v>1664</v>
      </c>
      <c r="T15" s="114" t="s">
        <v>1665</v>
      </c>
      <c r="U15" s="114"/>
      <c r="V15" s="114" t="s">
        <v>989</v>
      </c>
      <c r="W15" s="42" t="s">
        <v>1666</v>
      </c>
      <c r="X15" s="42" t="s">
        <v>1667</v>
      </c>
      <c r="Y15" s="114" t="s">
        <v>1668</v>
      </c>
      <c r="Z15" s="114"/>
      <c r="AA15" s="114"/>
      <c r="AB15" s="271" t="s">
        <v>1669</v>
      </c>
      <c r="AC15" s="271"/>
      <c r="AD15" s="271"/>
      <c r="AE15" s="114" t="s">
        <v>1670</v>
      </c>
      <c r="AF15" s="114" t="s">
        <v>1671</v>
      </c>
      <c r="AG15" s="346" t="s">
        <v>36</v>
      </c>
      <c r="AH15" s="346"/>
      <c r="AI15" s="114" t="s">
        <v>1672</v>
      </c>
      <c r="AJ15" s="347" t="str">
        <f ca="1">AJ16</f>
        <v>W9</v>
      </c>
      <c r="AK15" s="348"/>
      <c r="AL15" s="348"/>
      <c r="AM15" s="348"/>
      <c r="AN15" s="348"/>
      <c r="AO15" s="348"/>
      <c r="AP15" s="349"/>
      <c r="AQ15" s="347" t="str">
        <f ca="1">AQ16</f>
        <v>W10</v>
      </c>
      <c r="AR15" s="348"/>
      <c r="AS15" s="348"/>
      <c r="AT15" s="348"/>
      <c r="AU15" s="348"/>
      <c r="AV15" s="348"/>
      <c r="AW15" s="349"/>
      <c r="AX15" s="347" t="str">
        <f t="shared" ref="AX15" ca="1" si="18">AX16</f>
        <v>W11</v>
      </c>
      <c r="AY15" s="348"/>
      <c r="AZ15" s="348"/>
      <c r="BA15" s="348"/>
      <c r="BB15" s="348"/>
      <c r="BC15" s="348"/>
      <c r="BD15" s="349"/>
      <c r="BE15" s="347" t="str">
        <f t="shared" ref="BE15" ca="1" si="19">BE16</f>
        <v>W12</v>
      </c>
      <c r="BF15" s="348"/>
      <c r="BG15" s="348"/>
      <c r="BH15" s="348"/>
      <c r="BI15" s="348"/>
      <c r="BJ15" s="348"/>
      <c r="BK15" s="349"/>
      <c r="BL15" s="347" t="str">
        <f t="shared" ref="BL15" ca="1" si="20">BL16</f>
        <v>W13</v>
      </c>
      <c r="BM15" s="348"/>
      <c r="BN15" s="348"/>
      <c r="BO15" s="348"/>
      <c r="BP15" s="348"/>
      <c r="BQ15" s="348"/>
      <c r="BR15" s="349"/>
      <c r="BS15" s="347" t="str">
        <f t="shared" ref="BS15" ca="1" si="21">BS16</f>
        <v>W14</v>
      </c>
      <c r="BT15" s="348"/>
      <c r="BU15" s="348"/>
      <c r="BV15" s="348"/>
      <c r="BW15" s="348"/>
      <c r="BX15" s="348"/>
      <c r="BY15" s="349"/>
      <c r="BZ15" s="347" t="str">
        <f t="shared" ref="BZ15" ca="1" si="22">BZ16</f>
        <v>W15</v>
      </c>
      <c r="CA15" s="348"/>
      <c r="CB15" s="348"/>
      <c r="CC15" s="348"/>
      <c r="CD15" s="348"/>
      <c r="CE15" s="348"/>
      <c r="CF15" s="349"/>
      <c r="CG15" s="347" t="str">
        <f t="shared" ref="CG15" ca="1" si="23">CG16</f>
        <v>W16</v>
      </c>
      <c r="CH15" s="348"/>
      <c r="CI15" s="348"/>
      <c r="CJ15" s="348"/>
      <c r="CK15" s="348"/>
      <c r="CL15" s="348"/>
      <c r="CM15" s="349"/>
      <c r="CN15" s="347" t="str">
        <f t="shared" ref="CN15" ca="1" si="24">CN16</f>
        <v>W17</v>
      </c>
      <c r="CO15" s="348"/>
      <c r="CP15" s="348"/>
      <c r="CQ15" s="348"/>
      <c r="CR15" s="348"/>
      <c r="CS15" s="348"/>
      <c r="CT15" s="349"/>
      <c r="CU15" s="347" t="str">
        <f t="shared" ref="CU15" ca="1" si="25">CU16</f>
        <v>W18</v>
      </c>
      <c r="CV15" s="348"/>
      <c r="CW15" s="348"/>
      <c r="CX15" s="348"/>
      <c r="CY15" s="348"/>
      <c r="CZ15" s="348"/>
      <c r="DA15" s="349"/>
      <c r="DB15" s="347" t="str">
        <f t="shared" ref="DB15" ca="1" si="26">DB16</f>
        <v>W19</v>
      </c>
      <c r="DC15" s="348"/>
      <c r="DD15" s="348"/>
      <c r="DE15" s="348"/>
      <c r="DF15" s="348"/>
      <c r="DG15" s="348"/>
      <c r="DH15" s="349"/>
      <c r="DI15" s="347" t="str">
        <f t="shared" ref="DI15" ca="1" si="27">DI16</f>
        <v>W20</v>
      </c>
      <c r="DJ15" s="348"/>
      <c r="DK15" s="348"/>
      <c r="DL15" s="348"/>
      <c r="DM15" s="348"/>
      <c r="DN15" s="348"/>
      <c r="DO15" s="349"/>
      <c r="DP15" s="347" t="str">
        <f t="shared" ref="DP15" ca="1" si="28">DP16</f>
        <v>W21</v>
      </c>
      <c r="DQ15" s="348"/>
      <c r="DR15" s="348"/>
      <c r="DS15" s="348"/>
      <c r="DT15" s="348"/>
      <c r="DU15" s="348"/>
      <c r="DV15" s="349"/>
      <c r="DW15" s="347" t="str">
        <f t="shared" ref="DW15" ca="1" si="29">DW16</f>
        <v>W22</v>
      </c>
      <c r="DX15" s="348"/>
      <c r="DY15" s="348"/>
      <c r="DZ15" s="348"/>
      <c r="EA15" s="348"/>
      <c r="EB15" s="348"/>
      <c r="EC15" s="349"/>
      <c r="ED15" s="347" t="str">
        <f t="shared" ref="ED15" ca="1" si="30">ED16</f>
        <v>W23</v>
      </c>
      <c r="EE15" s="348"/>
      <c r="EF15" s="348"/>
      <c r="EG15" s="348"/>
      <c r="EH15" s="348"/>
      <c r="EI15" s="348"/>
      <c r="EJ15" s="349"/>
      <c r="EK15" s="347" t="str">
        <f t="shared" ref="EK15" ca="1" si="31">EK16</f>
        <v>W24</v>
      </c>
      <c r="EL15" s="348"/>
      <c r="EM15" s="348"/>
      <c r="EN15" s="348"/>
      <c r="EO15" s="348"/>
      <c r="EP15" s="348"/>
      <c r="EQ15" s="349"/>
      <c r="ER15" s="347" t="str">
        <f t="shared" ref="ER15" ca="1" si="32">ER16</f>
        <v>W25</v>
      </c>
      <c r="ES15" s="348"/>
      <c r="ET15" s="348"/>
      <c r="EU15" s="348"/>
      <c r="EV15" s="348"/>
      <c r="EW15" s="348"/>
      <c r="EX15" s="349"/>
      <c r="EY15" s="347" t="str">
        <f t="shared" ref="EY15" ca="1" si="33">EY16</f>
        <v>W26</v>
      </c>
      <c r="EZ15" s="348"/>
      <c r="FA15" s="348"/>
      <c r="FB15" s="348"/>
      <c r="FC15" s="348"/>
      <c r="FD15" s="348"/>
      <c r="FE15" s="349"/>
      <c r="FF15" s="347" t="str">
        <f t="shared" ref="FF15" ca="1" si="34">FF16</f>
        <v>W27</v>
      </c>
      <c r="FG15" s="348"/>
      <c r="FH15" s="348"/>
      <c r="FI15" s="348"/>
      <c r="FJ15" s="348"/>
      <c r="FK15" s="348"/>
      <c r="FL15" s="349"/>
      <c r="FM15" s="347" t="str">
        <f t="shared" ref="FM15" ca="1" si="35">FM16</f>
        <v>W28</v>
      </c>
      <c r="FN15" s="348"/>
      <c r="FO15" s="348"/>
      <c r="FP15" s="348"/>
      <c r="FQ15" s="348"/>
      <c r="FR15" s="348"/>
      <c r="FS15" s="349"/>
      <c r="FT15" s="347" t="str">
        <f t="shared" ref="FT15" ca="1" si="36">FT16</f>
        <v>W29</v>
      </c>
      <c r="FU15" s="348"/>
      <c r="FV15" s="348"/>
      <c r="FW15" s="348"/>
      <c r="FX15" s="348"/>
      <c r="FY15" s="348"/>
      <c r="FZ15" s="349"/>
      <c r="GA15" s="347" t="str">
        <f t="shared" ref="GA15" ca="1" si="37">GA16</f>
        <v>W30</v>
      </c>
      <c r="GB15" s="348"/>
      <c r="GC15" s="348"/>
      <c r="GD15" s="348"/>
      <c r="GE15" s="348"/>
      <c r="GF15" s="348"/>
      <c r="GG15" s="349"/>
      <c r="GH15" s="347" t="str">
        <f t="shared" ref="GH15" ca="1" si="38">GH16</f>
        <v>W31</v>
      </c>
      <c r="GI15" s="348"/>
      <c r="GJ15" s="348"/>
      <c r="GK15" s="348"/>
      <c r="GL15" s="348"/>
      <c r="GM15" s="348"/>
      <c r="GN15" s="349"/>
      <c r="GO15" s="347" t="str">
        <f t="shared" ref="GO15" ca="1" si="39">GO16</f>
        <v>W32</v>
      </c>
      <c r="GP15" s="348"/>
      <c r="GQ15" s="348"/>
      <c r="GR15" s="348"/>
      <c r="GS15" s="348"/>
      <c r="GT15" s="348"/>
      <c r="GU15" s="349"/>
      <c r="GV15" s="347" t="str">
        <f t="shared" ref="GV15" ca="1" si="40">GV16</f>
        <v>W33</v>
      </c>
      <c r="GW15" s="348"/>
      <c r="GX15" s="348"/>
      <c r="GY15" s="348"/>
      <c r="GZ15" s="348"/>
      <c r="HA15" s="348"/>
      <c r="HB15" s="349"/>
      <c r="HC15" s="347" t="str">
        <f t="shared" ref="HC15" ca="1" si="41">HC16</f>
        <v>W34</v>
      </c>
      <c r="HD15" s="348"/>
      <c r="HE15" s="348"/>
      <c r="HF15" s="348"/>
      <c r="HG15" s="348"/>
      <c r="HH15" s="348"/>
      <c r="HI15" s="349"/>
      <c r="HJ15" s="347" t="str">
        <f t="shared" ref="HJ15" ca="1" si="42">HJ16</f>
        <v>W35</v>
      </c>
      <c r="HK15" s="348"/>
      <c r="HL15" s="348"/>
      <c r="HM15" s="348"/>
      <c r="HN15" s="348"/>
      <c r="HO15" s="348"/>
      <c r="HP15" s="349"/>
      <c r="HQ15" s="347" t="str">
        <f t="shared" ref="HQ15" ca="1" si="43">HQ16</f>
        <v>W36</v>
      </c>
      <c r="HR15" s="348"/>
      <c r="HS15" s="348"/>
      <c r="HT15" s="348"/>
      <c r="HU15" s="348"/>
      <c r="HV15" s="348"/>
      <c r="HW15" s="349"/>
      <c r="HX15" s="347" t="str">
        <f t="shared" ref="HX15" ca="1" si="44">HX16</f>
        <v>W37</v>
      </c>
      <c r="HY15" s="348"/>
      <c r="HZ15" s="348"/>
      <c r="IA15" s="348"/>
      <c r="IB15" s="348"/>
      <c r="IC15" s="348"/>
      <c r="ID15" s="349"/>
      <c r="IE15" s="347" t="str">
        <f t="shared" ref="IE15" ca="1" si="45">IE16</f>
        <v>W38</v>
      </c>
      <c r="IF15" s="348"/>
      <c r="IG15" s="348"/>
      <c r="IH15" s="348"/>
      <c r="II15" s="348"/>
      <c r="IJ15" s="348"/>
      <c r="IK15" s="349"/>
      <c r="IL15" s="347" t="str">
        <f t="shared" ref="IL15" ca="1" si="46">IL16</f>
        <v>W39</v>
      </c>
      <c r="IM15" s="348"/>
      <c r="IN15" s="348"/>
      <c r="IO15" s="348"/>
      <c r="IP15" s="348"/>
      <c r="IQ15" s="348"/>
      <c r="IR15" s="349"/>
      <c r="IS15" s="347" t="str">
        <f t="shared" ref="IS15" ca="1" si="47">IS16</f>
        <v>W40</v>
      </c>
      <c r="IT15" s="348"/>
      <c r="IU15" s="348"/>
      <c r="IV15" s="348"/>
      <c r="IW15" s="348"/>
      <c r="IX15" s="348"/>
      <c r="IY15" s="349"/>
      <c r="IZ15" s="347" t="str">
        <f t="shared" ref="IZ15" ca="1" si="48">IZ16</f>
        <v>W41</v>
      </c>
      <c r="JA15" s="348"/>
      <c r="JB15" s="348"/>
      <c r="JC15" s="348"/>
      <c r="JD15" s="348"/>
      <c r="JE15" s="348"/>
      <c r="JF15" s="349"/>
      <c r="JG15" s="347" t="str">
        <f t="shared" ref="JG15" ca="1" si="49">JG16</f>
        <v>W42</v>
      </c>
      <c r="JH15" s="348"/>
      <c r="JI15" s="348"/>
      <c r="JJ15" s="348"/>
      <c r="JK15" s="348"/>
      <c r="JL15" s="348"/>
      <c r="JM15" s="349"/>
      <c r="JN15" s="347" t="str">
        <f t="shared" ref="JN15" ca="1" si="50">JN16</f>
        <v>W43</v>
      </c>
      <c r="JO15" s="348"/>
      <c r="JP15" s="348"/>
      <c r="JQ15" s="348"/>
      <c r="JR15" s="348"/>
      <c r="JS15" s="348"/>
      <c r="JT15" s="349"/>
      <c r="JU15" s="347" t="str">
        <f t="shared" ref="JU15" ca="1" si="51">JU16</f>
        <v>W44</v>
      </c>
      <c r="JV15" s="348"/>
      <c r="JW15" s="348"/>
      <c r="JX15" s="348"/>
      <c r="JY15" s="348"/>
      <c r="JZ15" s="348"/>
      <c r="KA15" s="349"/>
      <c r="KB15" s="347" t="str">
        <f t="shared" ref="KB15" ca="1" si="52">KB16</f>
        <v>W45</v>
      </c>
      <c r="KC15" s="348"/>
      <c r="KD15" s="348"/>
      <c r="KE15" s="348"/>
      <c r="KF15" s="348"/>
      <c r="KG15" s="348"/>
      <c r="KH15" s="349"/>
      <c r="KI15" s="347" t="str">
        <f t="shared" ref="KI15" ca="1" si="53">KI16</f>
        <v>W46</v>
      </c>
      <c r="KJ15" s="348"/>
      <c r="KK15" s="348"/>
      <c r="KL15" s="348"/>
      <c r="KM15" s="348"/>
      <c r="KN15" s="348"/>
      <c r="KO15" s="349"/>
      <c r="KP15" s="347" t="str">
        <f t="shared" ref="KP15" ca="1" si="54">KP16</f>
        <v>W47</v>
      </c>
      <c r="KQ15" s="348"/>
      <c r="KR15" s="348"/>
      <c r="KS15" s="348"/>
      <c r="KT15" s="348"/>
      <c r="KU15" s="348"/>
      <c r="KV15" s="349"/>
      <c r="KW15" s="347" t="str">
        <f t="shared" ref="KW15" ca="1" si="55">KW16</f>
        <v>W48</v>
      </c>
      <c r="KX15" s="348"/>
      <c r="KY15" s="348"/>
      <c r="KZ15" s="348"/>
      <c r="LA15" s="348"/>
      <c r="LB15" s="348"/>
      <c r="LC15" s="349"/>
      <c r="LD15" s="347" t="str">
        <f t="shared" ref="LD15" ca="1" si="56">LD16</f>
        <v>W49</v>
      </c>
      <c r="LE15" s="348"/>
      <c r="LF15" s="348"/>
      <c r="LG15" s="348"/>
      <c r="LH15" s="348"/>
      <c r="LI15" s="348"/>
      <c r="LJ15" s="349"/>
      <c r="LK15" s="347" t="str">
        <f t="shared" ref="LK15" ca="1" si="57">LK16</f>
        <v>W50</v>
      </c>
      <c r="LL15" s="348"/>
      <c r="LM15" s="348"/>
      <c r="LN15" s="348"/>
      <c r="LO15" s="348"/>
      <c r="LP15" s="348"/>
      <c r="LQ15" s="349"/>
      <c r="LR15" s="347" t="str">
        <f t="shared" ref="LR15" ca="1" si="58">LR16</f>
        <v>W51</v>
      </c>
      <c r="LS15" s="348"/>
      <c r="LT15" s="348"/>
      <c r="LU15" s="348"/>
      <c r="LV15" s="348"/>
      <c r="LW15" s="348"/>
      <c r="LX15" s="349"/>
      <c r="LY15" s="347" t="str">
        <f t="shared" ref="LY15" ca="1" si="59">LY16</f>
        <v>W52</v>
      </c>
      <c r="LZ15" s="348"/>
      <c r="MA15" s="348"/>
      <c r="MB15" s="348"/>
      <c r="MC15" s="348"/>
      <c r="MD15" s="348"/>
      <c r="ME15" s="349"/>
      <c r="MF15" s="347" t="str">
        <f t="shared" ref="MF15" ca="1" si="60">MF16</f>
        <v>W1</v>
      </c>
      <c r="MG15" s="348"/>
      <c r="MH15" s="348"/>
      <c r="MI15" s="348"/>
      <c r="MJ15" s="348"/>
      <c r="MK15" s="348"/>
      <c r="ML15" s="349"/>
      <c r="MM15" s="347" t="str">
        <f t="shared" ref="MM15" ca="1" si="61">MM16</f>
        <v>W2</v>
      </c>
      <c r="MN15" s="348"/>
      <c r="MO15" s="348"/>
      <c r="MP15" s="348"/>
      <c r="MQ15" s="348"/>
      <c r="MR15" s="348"/>
      <c r="MS15" s="349"/>
      <c r="MT15" s="347" t="str">
        <f t="shared" ref="MT15" ca="1" si="62">MT16</f>
        <v>W3</v>
      </c>
      <c r="MU15" s="348"/>
      <c r="MV15" s="348"/>
      <c r="MW15" s="348"/>
      <c r="MX15" s="348"/>
      <c r="MY15" s="348"/>
      <c r="MZ15" s="349"/>
      <c r="NA15" s="347" t="str">
        <f t="shared" ref="NA15" ca="1" si="63">NA16</f>
        <v>W4</v>
      </c>
      <c r="NB15" s="348"/>
      <c r="NC15" s="348"/>
      <c r="ND15" s="348"/>
      <c r="NE15" s="348"/>
      <c r="NF15" s="348"/>
      <c r="NG15" s="349"/>
      <c r="NH15" s="347" t="str">
        <f t="shared" ref="NH15" ca="1" si="64">NH16</f>
        <v>W5</v>
      </c>
      <c r="NI15" s="348"/>
      <c r="NJ15" s="348"/>
      <c r="NK15" s="348"/>
      <c r="NL15" s="348"/>
      <c r="NM15" s="348"/>
      <c r="NN15" s="349"/>
      <c r="NO15" s="347" t="str">
        <f t="shared" ref="NO15" ca="1" si="65">NO16</f>
        <v>W6</v>
      </c>
      <c r="NP15" s="348"/>
      <c r="NQ15" s="348"/>
      <c r="NR15" s="348"/>
      <c r="NS15" s="348"/>
      <c r="NT15" s="348"/>
      <c r="NU15" s="349"/>
      <c r="NV15" s="347" t="str">
        <f t="shared" ref="NV15" ca="1" si="66">NV16</f>
        <v>W7</v>
      </c>
      <c r="NW15" s="348"/>
      <c r="NX15" s="348"/>
      <c r="NY15" s="348"/>
      <c r="NZ15" s="348"/>
      <c r="OA15" s="348"/>
      <c r="OB15" s="349"/>
      <c r="OC15" s="347" t="str">
        <f t="shared" ref="OC15" ca="1" si="67">OC16</f>
        <v>W8</v>
      </c>
      <c r="OD15" s="348"/>
      <c r="OE15" s="348"/>
      <c r="OF15" s="348"/>
      <c r="OG15" s="348"/>
      <c r="OH15" s="348"/>
      <c r="OI15" s="349"/>
      <c r="OJ15" s="347" t="str">
        <f t="shared" ref="OJ15" ca="1" si="68">OJ16</f>
        <v>W9</v>
      </c>
      <c r="OK15" s="348"/>
      <c r="OL15" s="348"/>
      <c r="OM15" s="348"/>
      <c r="ON15" s="348"/>
      <c r="OO15" s="348"/>
      <c r="OP15" s="349"/>
      <c r="OQ15" s="347" t="str">
        <f t="shared" ref="OQ15" ca="1" si="69">OQ16</f>
        <v>W10</v>
      </c>
      <c r="OR15" s="348"/>
      <c r="OS15" s="348"/>
      <c r="OT15" s="348"/>
      <c r="OU15" s="348"/>
      <c r="OV15" s="348"/>
      <c r="OW15" s="349"/>
      <c r="OX15" s="347" t="str">
        <f t="shared" ref="OX15" ca="1" si="70">OX16</f>
        <v>W11</v>
      </c>
      <c r="OY15" s="348"/>
      <c r="OZ15" s="348"/>
      <c r="PA15" s="348"/>
      <c r="PB15" s="348"/>
      <c r="PC15" s="348"/>
      <c r="PD15" s="349"/>
      <c r="PE15" s="347" t="str">
        <f t="shared" ref="PE15" ca="1" si="71">PE16</f>
        <v>W12</v>
      </c>
      <c r="PF15" s="348"/>
      <c r="PG15" s="348"/>
      <c r="PH15" s="348"/>
      <c r="PI15" s="348"/>
      <c r="PJ15" s="348"/>
      <c r="PK15" s="349"/>
      <c r="PL15" s="347" t="str">
        <f t="shared" ref="PL15" ca="1" si="72">PL16</f>
        <v>W13</v>
      </c>
      <c r="PM15" s="348"/>
      <c r="PN15" s="348"/>
      <c r="PO15" s="348"/>
      <c r="PP15" s="348"/>
      <c r="PQ15" s="348"/>
      <c r="PR15" s="349"/>
      <c r="PS15" s="347" t="str">
        <f t="shared" ref="PS15" ca="1" si="73">PS16</f>
        <v>W14</v>
      </c>
      <c r="PT15" s="348"/>
      <c r="PU15" s="348"/>
      <c r="PV15" s="348"/>
      <c r="PW15" s="348"/>
      <c r="PX15" s="348"/>
      <c r="PY15" s="349"/>
      <c r="PZ15" s="347" t="str">
        <f t="shared" ref="PZ15" ca="1" si="74">PZ16</f>
        <v>W15</v>
      </c>
      <c r="QA15" s="348"/>
      <c r="QB15" s="348"/>
      <c r="QC15" s="348"/>
      <c r="QD15" s="348"/>
      <c r="QE15" s="348"/>
      <c r="QF15" s="349"/>
      <c r="QG15" s="347" t="str">
        <f t="shared" ref="QG15" ca="1" si="75">QG16</f>
        <v>W16</v>
      </c>
      <c r="QH15" s="348"/>
      <c r="QI15" s="348"/>
      <c r="QJ15" s="348"/>
      <c r="QK15" s="348"/>
      <c r="QL15" s="348"/>
      <c r="QM15" s="349"/>
      <c r="QN15" s="347" t="str">
        <f t="shared" ref="QN15" ca="1" si="76">QN16</f>
        <v>W17</v>
      </c>
      <c r="QO15" s="348"/>
      <c r="QP15" s="348"/>
      <c r="QQ15" s="348"/>
      <c r="QR15" s="348"/>
      <c r="QS15" s="348"/>
      <c r="QT15" s="349"/>
      <c r="QU15" s="347" t="str">
        <f t="shared" ref="QU15" ca="1" si="77">QU16</f>
        <v>W18</v>
      </c>
      <c r="QV15" s="348"/>
      <c r="QW15" s="348"/>
      <c r="QX15" s="348"/>
      <c r="QY15" s="348"/>
      <c r="QZ15" s="348"/>
      <c r="RA15" s="349"/>
      <c r="RB15" s="347" t="str">
        <f t="shared" ref="RB15" ca="1" si="78">RB16</f>
        <v>W19</v>
      </c>
      <c r="RC15" s="348"/>
      <c r="RD15" s="348"/>
      <c r="RE15" s="348"/>
      <c r="RF15" s="348"/>
      <c r="RG15" s="348"/>
      <c r="RH15" s="349"/>
      <c r="RI15" s="347" t="str">
        <f t="shared" ref="RI15" ca="1" si="79">RI16</f>
        <v>W20</v>
      </c>
      <c r="RJ15" s="348"/>
      <c r="RK15" s="348"/>
      <c r="RL15" s="348"/>
      <c r="RM15" s="348"/>
      <c r="RN15" s="348"/>
      <c r="RO15" s="349"/>
      <c r="RP15" s="347" t="str">
        <f t="shared" ref="RP15" ca="1" si="80">RP16</f>
        <v>W21</v>
      </c>
      <c r="RQ15" s="348"/>
      <c r="RR15" s="348"/>
      <c r="RS15" s="348"/>
      <c r="RT15" s="348"/>
      <c r="RU15" s="348"/>
      <c r="RV15" s="349"/>
      <c r="RW15" s="347" t="str">
        <f t="shared" ref="RW15" ca="1" si="81">RW16</f>
        <v>W22</v>
      </c>
      <c r="RX15" s="348"/>
      <c r="RY15" s="348"/>
      <c r="RZ15" s="348"/>
      <c r="SA15" s="348"/>
      <c r="SB15" s="348"/>
      <c r="SC15" s="349"/>
      <c r="SD15" s="347" t="str">
        <f t="shared" ref="SD15" ca="1" si="82">SD16</f>
        <v>W23</v>
      </c>
      <c r="SE15" s="348"/>
      <c r="SF15" s="348"/>
      <c r="SG15" s="348"/>
      <c r="SH15" s="348"/>
      <c r="SI15" s="348"/>
      <c r="SJ15" s="349"/>
      <c r="SK15" s="347" t="str">
        <f t="shared" ref="SK15" ca="1" si="83">SK16</f>
        <v>W24</v>
      </c>
      <c r="SL15" s="348"/>
      <c r="SM15" s="348"/>
      <c r="SN15" s="348"/>
      <c r="SO15" s="348"/>
      <c r="SP15" s="348"/>
      <c r="SQ15" s="349"/>
      <c r="SR15" s="347" t="str">
        <f t="shared" ref="SR15" ca="1" si="84">SR16</f>
        <v>W25</v>
      </c>
      <c r="SS15" s="348"/>
      <c r="ST15" s="348"/>
      <c r="SU15" s="348"/>
      <c r="SV15" s="348"/>
      <c r="SW15" s="348"/>
      <c r="SX15" s="349"/>
      <c r="SY15" s="347" t="str">
        <f t="shared" ref="SY15" ca="1" si="85">SY16</f>
        <v>W26</v>
      </c>
      <c r="SZ15" s="348"/>
      <c r="TA15" s="348"/>
      <c r="TB15" s="348"/>
      <c r="TC15" s="348"/>
      <c r="TD15" s="348"/>
      <c r="TE15" s="349"/>
      <c r="TF15" s="347" t="str">
        <f t="shared" ref="TF15" ca="1" si="86">TF16</f>
        <v>W27</v>
      </c>
      <c r="TG15" s="348"/>
      <c r="TH15" s="348"/>
      <c r="TI15" s="348"/>
      <c r="TJ15" s="348"/>
      <c r="TK15" s="348"/>
      <c r="TL15" s="349"/>
      <c r="TM15" s="347" t="str">
        <f t="shared" ref="TM15" ca="1" si="87">TM16</f>
        <v>W28</v>
      </c>
      <c r="TN15" s="348"/>
      <c r="TO15" s="348"/>
      <c r="TP15" s="348"/>
      <c r="TQ15" s="348"/>
      <c r="TR15" s="348"/>
      <c r="TS15" s="349"/>
      <c r="TT15" s="347" t="str">
        <f t="shared" ref="TT15" ca="1" si="88">TT16</f>
        <v>W29</v>
      </c>
      <c r="TU15" s="348"/>
      <c r="TV15" s="348"/>
      <c r="TW15" s="348"/>
      <c r="TX15" s="348"/>
      <c r="TY15" s="348"/>
      <c r="TZ15" s="349"/>
      <c r="UA15" s="347" t="str">
        <f t="shared" ref="UA15" ca="1" si="89">UA16</f>
        <v>W30</v>
      </c>
      <c r="UB15" s="348"/>
      <c r="UC15" s="348"/>
      <c r="UD15" s="348"/>
      <c r="UE15" s="348"/>
      <c r="UF15" s="348"/>
      <c r="UG15" s="349"/>
      <c r="UH15" s="347" t="str">
        <f t="shared" ref="UH15" ca="1" si="90">UH16</f>
        <v>W31</v>
      </c>
      <c r="UI15" s="348"/>
      <c r="UJ15" s="348"/>
      <c r="UK15" s="348"/>
      <c r="UL15" s="348"/>
      <c r="UM15" s="348"/>
    </row>
    <row r="16" spans="1:565" s="133" customFormat="1" ht="27" customHeight="1">
      <c r="A16" s="22"/>
      <c r="B16" s="22"/>
      <c r="C16" s="22"/>
      <c r="D16" s="22"/>
      <c r="E16" s="22"/>
      <c r="F16" s="22"/>
      <c r="G16" s="22"/>
      <c r="H16" s="22"/>
      <c r="I16" s="22"/>
      <c r="J16" s="251"/>
      <c r="K16" s="143"/>
      <c r="L16" s="136"/>
      <c r="M16" s="144"/>
      <c r="N16" s="41"/>
      <c r="O16" s="143"/>
      <c r="P16" s="143"/>
      <c r="Q16" s="144"/>
      <c r="R16" s="144"/>
      <c r="S16" s="22"/>
      <c r="T16" s="22"/>
      <c r="U16" s="22"/>
      <c r="V16" s="22"/>
      <c r="W16" s="22"/>
      <c r="X16" s="22"/>
      <c r="Y16" s="144"/>
      <c r="Z16" s="144"/>
      <c r="AA16" s="144"/>
      <c r="AB16"/>
      <c r="AC16" s="145"/>
      <c r="AD16" s="146"/>
      <c r="AE16" s="147"/>
      <c r="AF16" s="148"/>
      <c r="AG16" s="146"/>
      <c r="AH16" s="136"/>
      <c r="AI16" s="136"/>
      <c r="AJ16" s="149" t="str">
        <f t="shared" ref="AJ16:CU16" ca="1" si="91">Week_Name&amp;WEEKNUM(AJ9,First_Day_Week2)</f>
        <v>W9</v>
      </c>
      <c r="AK16" s="149" t="str">
        <f t="shared" ca="1" si="91"/>
        <v>W9</v>
      </c>
      <c r="AL16" s="149" t="str">
        <f t="shared" ca="1" si="91"/>
        <v>W9</v>
      </c>
      <c r="AM16" s="149" t="str">
        <f t="shared" ca="1" si="91"/>
        <v>W9</v>
      </c>
      <c r="AN16" s="149" t="str">
        <f t="shared" ca="1" si="91"/>
        <v>W9</v>
      </c>
      <c r="AO16" s="149" t="str">
        <f t="shared" ca="1" si="91"/>
        <v>W9</v>
      </c>
      <c r="AP16" s="149" t="str">
        <f t="shared" ca="1" si="91"/>
        <v>W9</v>
      </c>
      <c r="AQ16" s="149" t="str">
        <f t="shared" ca="1" si="91"/>
        <v>W10</v>
      </c>
      <c r="AR16" s="149" t="str">
        <f t="shared" ca="1" si="91"/>
        <v>W10</v>
      </c>
      <c r="AS16" s="149" t="str">
        <f t="shared" ca="1" si="91"/>
        <v>W10</v>
      </c>
      <c r="AT16" s="149" t="str">
        <f t="shared" ca="1" si="91"/>
        <v>W10</v>
      </c>
      <c r="AU16" s="149" t="str">
        <f t="shared" ca="1" si="91"/>
        <v>W10</v>
      </c>
      <c r="AV16" s="149" t="str">
        <f t="shared" ca="1" si="91"/>
        <v>W10</v>
      </c>
      <c r="AW16" s="149" t="str">
        <f t="shared" ca="1" si="91"/>
        <v>W10</v>
      </c>
      <c r="AX16" s="149" t="str">
        <f t="shared" ca="1" si="91"/>
        <v>W11</v>
      </c>
      <c r="AY16" s="149" t="str">
        <f t="shared" ca="1" si="91"/>
        <v>W11</v>
      </c>
      <c r="AZ16" s="149" t="str">
        <f t="shared" ca="1" si="91"/>
        <v>W11</v>
      </c>
      <c r="BA16" s="149" t="str">
        <f t="shared" ca="1" si="91"/>
        <v>W11</v>
      </c>
      <c r="BB16" s="149" t="str">
        <f t="shared" ca="1" si="91"/>
        <v>W11</v>
      </c>
      <c r="BC16" s="149" t="str">
        <f t="shared" ca="1" si="91"/>
        <v>W11</v>
      </c>
      <c r="BD16" s="149" t="str">
        <f t="shared" ca="1" si="91"/>
        <v>W11</v>
      </c>
      <c r="BE16" s="149" t="str">
        <f t="shared" ca="1" si="91"/>
        <v>W12</v>
      </c>
      <c r="BF16" s="149" t="str">
        <f t="shared" ca="1" si="91"/>
        <v>W12</v>
      </c>
      <c r="BG16" s="149" t="str">
        <f t="shared" ca="1" si="91"/>
        <v>W12</v>
      </c>
      <c r="BH16" s="149" t="str">
        <f t="shared" ca="1" si="91"/>
        <v>W12</v>
      </c>
      <c r="BI16" s="149" t="str">
        <f t="shared" ca="1" si="91"/>
        <v>W12</v>
      </c>
      <c r="BJ16" s="149" t="str">
        <f t="shared" ca="1" si="91"/>
        <v>W12</v>
      </c>
      <c r="BK16" s="149" t="str">
        <f t="shared" ca="1" si="91"/>
        <v>W12</v>
      </c>
      <c r="BL16" s="149" t="str">
        <f t="shared" ca="1" si="91"/>
        <v>W13</v>
      </c>
      <c r="BM16" s="149" t="str">
        <f t="shared" ca="1" si="91"/>
        <v>W13</v>
      </c>
      <c r="BN16" s="149" t="str">
        <f t="shared" ca="1" si="91"/>
        <v>W13</v>
      </c>
      <c r="BO16" s="149" t="str">
        <f t="shared" ca="1" si="91"/>
        <v>W13</v>
      </c>
      <c r="BP16" s="149" t="str">
        <f t="shared" ca="1" si="91"/>
        <v>W13</v>
      </c>
      <c r="BQ16" s="149" t="str">
        <f t="shared" ca="1" si="91"/>
        <v>W13</v>
      </c>
      <c r="BR16" s="149" t="str">
        <f t="shared" ca="1" si="91"/>
        <v>W13</v>
      </c>
      <c r="BS16" s="149" t="str">
        <f t="shared" ca="1" si="91"/>
        <v>W14</v>
      </c>
      <c r="BT16" s="149" t="str">
        <f t="shared" ca="1" si="91"/>
        <v>W14</v>
      </c>
      <c r="BU16" s="149" t="str">
        <f t="shared" ca="1" si="91"/>
        <v>W14</v>
      </c>
      <c r="BV16" s="149" t="str">
        <f t="shared" ca="1" si="91"/>
        <v>W14</v>
      </c>
      <c r="BW16" s="149" t="str">
        <f t="shared" ca="1" si="91"/>
        <v>W14</v>
      </c>
      <c r="BX16" s="149" t="str">
        <f t="shared" ca="1" si="91"/>
        <v>W14</v>
      </c>
      <c r="BY16" s="149" t="str">
        <f t="shared" ca="1" si="91"/>
        <v>W14</v>
      </c>
      <c r="BZ16" s="149" t="str">
        <f t="shared" ca="1" si="91"/>
        <v>W15</v>
      </c>
      <c r="CA16" s="149" t="str">
        <f t="shared" ca="1" si="91"/>
        <v>W15</v>
      </c>
      <c r="CB16" s="149" t="str">
        <f t="shared" ca="1" si="91"/>
        <v>W15</v>
      </c>
      <c r="CC16" s="149" t="str">
        <f t="shared" ca="1" si="91"/>
        <v>W15</v>
      </c>
      <c r="CD16" s="149" t="str">
        <f t="shared" ca="1" si="91"/>
        <v>W15</v>
      </c>
      <c r="CE16" s="149" t="str">
        <f t="shared" ca="1" si="91"/>
        <v>W15</v>
      </c>
      <c r="CF16" s="149" t="str">
        <f t="shared" ca="1" si="91"/>
        <v>W15</v>
      </c>
      <c r="CG16" s="149" t="str">
        <f t="shared" ca="1" si="91"/>
        <v>W16</v>
      </c>
      <c r="CH16" s="149" t="str">
        <f t="shared" ca="1" si="91"/>
        <v>W16</v>
      </c>
      <c r="CI16" s="149" t="str">
        <f t="shared" ca="1" si="91"/>
        <v>W16</v>
      </c>
      <c r="CJ16" s="149" t="str">
        <f t="shared" ca="1" si="91"/>
        <v>W16</v>
      </c>
      <c r="CK16" s="149" t="str">
        <f t="shared" ca="1" si="91"/>
        <v>W16</v>
      </c>
      <c r="CL16" s="149" t="str">
        <f t="shared" ca="1" si="91"/>
        <v>W16</v>
      </c>
      <c r="CM16" s="149" t="str">
        <f t="shared" ca="1" si="91"/>
        <v>W16</v>
      </c>
      <c r="CN16" s="149" t="str">
        <f t="shared" ca="1" si="91"/>
        <v>W17</v>
      </c>
      <c r="CO16" s="149" t="str">
        <f t="shared" ca="1" si="91"/>
        <v>W17</v>
      </c>
      <c r="CP16" s="149" t="str">
        <f t="shared" ca="1" si="91"/>
        <v>W17</v>
      </c>
      <c r="CQ16" s="149" t="str">
        <f t="shared" ca="1" si="91"/>
        <v>W17</v>
      </c>
      <c r="CR16" s="149" t="str">
        <f t="shared" ca="1" si="91"/>
        <v>W17</v>
      </c>
      <c r="CS16" s="149" t="str">
        <f t="shared" ca="1" si="91"/>
        <v>W17</v>
      </c>
      <c r="CT16" s="149" t="str">
        <f t="shared" ca="1" si="91"/>
        <v>W17</v>
      </c>
      <c r="CU16" s="149" t="str">
        <f t="shared" ca="1" si="91"/>
        <v>W18</v>
      </c>
      <c r="CV16" s="149" t="str">
        <f t="shared" ref="CV16:FG16" ca="1" si="92">Week_Name&amp;WEEKNUM(CV9,First_Day_Week2)</f>
        <v>W18</v>
      </c>
      <c r="CW16" s="149" t="str">
        <f t="shared" ca="1" si="92"/>
        <v>W18</v>
      </c>
      <c r="CX16" s="149" t="str">
        <f t="shared" ca="1" si="92"/>
        <v>W18</v>
      </c>
      <c r="CY16" s="149" t="str">
        <f t="shared" ca="1" si="92"/>
        <v>W18</v>
      </c>
      <c r="CZ16" s="149" t="str">
        <f t="shared" ca="1" si="92"/>
        <v>W18</v>
      </c>
      <c r="DA16" s="149" t="str">
        <f t="shared" ca="1" si="92"/>
        <v>W18</v>
      </c>
      <c r="DB16" s="149" t="str">
        <f t="shared" ca="1" si="92"/>
        <v>W19</v>
      </c>
      <c r="DC16" s="149" t="str">
        <f t="shared" ca="1" si="92"/>
        <v>W19</v>
      </c>
      <c r="DD16" s="149" t="str">
        <f t="shared" ca="1" si="92"/>
        <v>W19</v>
      </c>
      <c r="DE16" s="149" t="str">
        <f t="shared" ca="1" si="92"/>
        <v>W19</v>
      </c>
      <c r="DF16" s="149" t="str">
        <f t="shared" ca="1" si="92"/>
        <v>W19</v>
      </c>
      <c r="DG16" s="149" t="str">
        <f t="shared" ca="1" si="92"/>
        <v>W19</v>
      </c>
      <c r="DH16" s="149" t="str">
        <f t="shared" ca="1" si="92"/>
        <v>W19</v>
      </c>
      <c r="DI16" s="149" t="str">
        <f t="shared" ca="1" si="92"/>
        <v>W20</v>
      </c>
      <c r="DJ16" s="149" t="str">
        <f t="shared" ca="1" si="92"/>
        <v>W20</v>
      </c>
      <c r="DK16" s="149" t="str">
        <f t="shared" ca="1" si="92"/>
        <v>W20</v>
      </c>
      <c r="DL16" s="149" t="str">
        <f t="shared" ca="1" si="92"/>
        <v>W20</v>
      </c>
      <c r="DM16" s="149" t="str">
        <f t="shared" ca="1" si="92"/>
        <v>W20</v>
      </c>
      <c r="DN16" s="149" t="str">
        <f t="shared" ca="1" si="92"/>
        <v>W20</v>
      </c>
      <c r="DO16" s="149" t="str">
        <f t="shared" ca="1" si="92"/>
        <v>W20</v>
      </c>
      <c r="DP16" s="149" t="str">
        <f t="shared" ca="1" si="92"/>
        <v>W21</v>
      </c>
      <c r="DQ16" s="149" t="str">
        <f t="shared" ca="1" si="92"/>
        <v>W21</v>
      </c>
      <c r="DR16" s="149" t="str">
        <f t="shared" ca="1" si="92"/>
        <v>W21</v>
      </c>
      <c r="DS16" s="149" t="str">
        <f t="shared" ca="1" si="92"/>
        <v>W21</v>
      </c>
      <c r="DT16" s="149" t="str">
        <f t="shared" ca="1" si="92"/>
        <v>W21</v>
      </c>
      <c r="DU16" s="149" t="str">
        <f t="shared" ca="1" si="92"/>
        <v>W21</v>
      </c>
      <c r="DV16" s="149" t="str">
        <f t="shared" ca="1" si="92"/>
        <v>W21</v>
      </c>
      <c r="DW16" s="149" t="str">
        <f t="shared" ca="1" si="92"/>
        <v>W22</v>
      </c>
      <c r="DX16" s="149" t="str">
        <f t="shared" ca="1" si="92"/>
        <v>W22</v>
      </c>
      <c r="DY16" s="149" t="str">
        <f t="shared" ca="1" si="92"/>
        <v>W22</v>
      </c>
      <c r="DZ16" s="149" t="str">
        <f t="shared" ca="1" si="92"/>
        <v>W22</v>
      </c>
      <c r="EA16" s="149" t="str">
        <f t="shared" ca="1" si="92"/>
        <v>W22</v>
      </c>
      <c r="EB16" s="149" t="str">
        <f t="shared" ca="1" si="92"/>
        <v>W22</v>
      </c>
      <c r="EC16" s="149" t="str">
        <f t="shared" ca="1" si="92"/>
        <v>W22</v>
      </c>
      <c r="ED16" s="149" t="str">
        <f t="shared" ca="1" si="92"/>
        <v>W23</v>
      </c>
      <c r="EE16" s="149" t="str">
        <f t="shared" ca="1" si="92"/>
        <v>W23</v>
      </c>
      <c r="EF16" s="149" t="str">
        <f t="shared" ca="1" si="92"/>
        <v>W23</v>
      </c>
      <c r="EG16" s="149" t="str">
        <f t="shared" ca="1" si="92"/>
        <v>W23</v>
      </c>
      <c r="EH16" s="149" t="str">
        <f t="shared" ca="1" si="92"/>
        <v>W23</v>
      </c>
      <c r="EI16" s="149" t="str">
        <f t="shared" ca="1" si="92"/>
        <v>W23</v>
      </c>
      <c r="EJ16" s="149" t="str">
        <f t="shared" ca="1" si="92"/>
        <v>W23</v>
      </c>
      <c r="EK16" s="149" t="str">
        <f t="shared" ca="1" si="92"/>
        <v>W24</v>
      </c>
      <c r="EL16" s="149" t="str">
        <f t="shared" ca="1" si="92"/>
        <v>W24</v>
      </c>
      <c r="EM16" s="149" t="str">
        <f t="shared" ca="1" si="92"/>
        <v>W24</v>
      </c>
      <c r="EN16" s="149" t="str">
        <f t="shared" ca="1" si="92"/>
        <v>W24</v>
      </c>
      <c r="EO16" s="149" t="str">
        <f t="shared" ca="1" si="92"/>
        <v>W24</v>
      </c>
      <c r="EP16" s="149" t="str">
        <f t="shared" ca="1" si="92"/>
        <v>W24</v>
      </c>
      <c r="EQ16" s="149" t="str">
        <f t="shared" ca="1" si="92"/>
        <v>W24</v>
      </c>
      <c r="ER16" s="149" t="str">
        <f t="shared" ca="1" si="92"/>
        <v>W25</v>
      </c>
      <c r="ES16" s="149" t="str">
        <f t="shared" ca="1" si="92"/>
        <v>W25</v>
      </c>
      <c r="ET16" s="149" t="str">
        <f t="shared" ca="1" si="92"/>
        <v>W25</v>
      </c>
      <c r="EU16" s="149" t="str">
        <f t="shared" ca="1" si="92"/>
        <v>W25</v>
      </c>
      <c r="EV16" s="149" t="str">
        <f t="shared" ca="1" si="92"/>
        <v>W25</v>
      </c>
      <c r="EW16" s="149" t="str">
        <f t="shared" ca="1" si="92"/>
        <v>W25</v>
      </c>
      <c r="EX16" s="149" t="str">
        <f t="shared" ca="1" si="92"/>
        <v>W25</v>
      </c>
      <c r="EY16" s="149" t="str">
        <f t="shared" ca="1" si="92"/>
        <v>W26</v>
      </c>
      <c r="EZ16" s="149" t="str">
        <f t="shared" ca="1" si="92"/>
        <v>W26</v>
      </c>
      <c r="FA16" s="149" t="str">
        <f t="shared" ca="1" si="92"/>
        <v>W26</v>
      </c>
      <c r="FB16" s="149" t="str">
        <f t="shared" ca="1" si="92"/>
        <v>W26</v>
      </c>
      <c r="FC16" s="149" t="str">
        <f t="shared" ca="1" si="92"/>
        <v>W26</v>
      </c>
      <c r="FD16" s="149" t="str">
        <f t="shared" ca="1" si="92"/>
        <v>W26</v>
      </c>
      <c r="FE16" s="149" t="str">
        <f t="shared" ca="1" si="92"/>
        <v>W26</v>
      </c>
      <c r="FF16" s="149" t="str">
        <f t="shared" ca="1" si="92"/>
        <v>W27</v>
      </c>
      <c r="FG16" s="149" t="str">
        <f t="shared" ca="1" si="92"/>
        <v>W27</v>
      </c>
      <c r="FH16" s="149" t="str">
        <f t="shared" ref="FH16:HS16" ca="1" si="93">Week_Name&amp;WEEKNUM(FH9,First_Day_Week2)</f>
        <v>W27</v>
      </c>
      <c r="FI16" s="149" t="str">
        <f t="shared" ca="1" si="93"/>
        <v>W27</v>
      </c>
      <c r="FJ16" s="149" t="str">
        <f t="shared" ca="1" si="93"/>
        <v>W27</v>
      </c>
      <c r="FK16" s="149" t="str">
        <f t="shared" ca="1" si="93"/>
        <v>W27</v>
      </c>
      <c r="FL16" s="149" t="str">
        <f t="shared" ca="1" si="93"/>
        <v>W27</v>
      </c>
      <c r="FM16" s="149" t="str">
        <f t="shared" ca="1" si="93"/>
        <v>W28</v>
      </c>
      <c r="FN16" s="149" t="str">
        <f t="shared" ca="1" si="93"/>
        <v>W28</v>
      </c>
      <c r="FO16" s="149" t="str">
        <f t="shared" ca="1" si="93"/>
        <v>W28</v>
      </c>
      <c r="FP16" s="149" t="str">
        <f t="shared" ca="1" si="93"/>
        <v>W28</v>
      </c>
      <c r="FQ16" s="149" t="str">
        <f t="shared" ca="1" si="93"/>
        <v>W28</v>
      </c>
      <c r="FR16" s="149" t="str">
        <f t="shared" ca="1" si="93"/>
        <v>W28</v>
      </c>
      <c r="FS16" s="149" t="str">
        <f t="shared" ca="1" si="93"/>
        <v>W28</v>
      </c>
      <c r="FT16" s="149" t="str">
        <f t="shared" ca="1" si="93"/>
        <v>W29</v>
      </c>
      <c r="FU16" s="149" t="str">
        <f t="shared" ca="1" si="93"/>
        <v>W29</v>
      </c>
      <c r="FV16" s="149" t="str">
        <f t="shared" ca="1" si="93"/>
        <v>W29</v>
      </c>
      <c r="FW16" s="149" t="str">
        <f t="shared" ca="1" si="93"/>
        <v>W29</v>
      </c>
      <c r="FX16" s="149" t="str">
        <f t="shared" ca="1" si="93"/>
        <v>W29</v>
      </c>
      <c r="FY16" s="149" t="str">
        <f t="shared" ca="1" si="93"/>
        <v>W29</v>
      </c>
      <c r="FZ16" s="149" t="str">
        <f t="shared" ca="1" si="93"/>
        <v>W29</v>
      </c>
      <c r="GA16" s="149" t="str">
        <f t="shared" ca="1" si="93"/>
        <v>W30</v>
      </c>
      <c r="GB16" s="149" t="str">
        <f t="shared" ca="1" si="93"/>
        <v>W30</v>
      </c>
      <c r="GC16" s="149" t="str">
        <f t="shared" ca="1" si="93"/>
        <v>W30</v>
      </c>
      <c r="GD16" s="149" t="str">
        <f t="shared" ca="1" si="93"/>
        <v>W30</v>
      </c>
      <c r="GE16" s="149" t="str">
        <f t="shared" ca="1" si="93"/>
        <v>W30</v>
      </c>
      <c r="GF16" s="149" t="str">
        <f t="shared" ca="1" si="93"/>
        <v>W30</v>
      </c>
      <c r="GG16" s="149" t="str">
        <f t="shared" ca="1" si="93"/>
        <v>W30</v>
      </c>
      <c r="GH16" s="149" t="str">
        <f t="shared" ca="1" si="93"/>
        <v>W31</v>
      </c>
      <c r="GI16" s="149" t="str">
        <f t="shared" ca="1" si="93"/>
        <v>W31</v>
      </c>
      <c r="GJ16" s="149" t="str">
        <f t="shared" ca="1" si="93"/>
        <v>W31</v>
      </c>
      <c r="GK16" s="149" t="str">
        <f t="shared" ca="1" si="93"/>
        <v>W31</v>
      </c>
      <c r="GL16" s="149" t="str">
        <f t="shared" ca="1" si="93"/>
        <v>W31</v>
      </c>
      <c r="GM16" s="149" t="str">
        <f t="shared" ca="1" si="93"/>
        <v>W31</v>
      </c>
      <c r="GN16" s="149" t="str">
        <f t="shared" ca="1" si="93"/>
        <v>W31</v>
      </c>
      <c r="GO16" s="149" t="str">
        <f t="shared" ca="1" si="93"/>
        <v>W32</v>
      </c>
      <c r="GP16" s="149" t="str">
        <f t="shared" ca="1" si="93"/>
        <v>W32</v>
      </c>
      <c r="GQ16" s="149" t="str">
        <f t="shared" ca="1" si="93"/>
        <v>W32</v>
      </c>
      <c r="GR16" s="149" t="str">
        <f t="shared" ca="1" si="93"/>
        <v>W32</v>
      </c>
      <c r="GS16" s="149" t="str">
        <f t="shared" ca="1" si="93"/>
        <v>W32</v>
      </c>
      <c r="GT16" s="149" t="str">
        <f t="shared" ca="1" si="93"/>
        <v>W32</v>
      </c>
      <c r="GU16" s="149" t="str">
        <f t="shared" ca="1" si="93"/>
        <v>W32</v>
      </c>
      <c r="GV16" s="149" t="str">
        <f t="shared" ca="1" si="93"/>
        <v>W33</v>
      </c>
      <c r="GW16" s="149" t="str">
        <f t="shared" ca="1" si="93"/>
        <v>W33</v>
      </c>
      <c r="GX16" s="149" t="str">
        <f t="shared" ca="1" si="93"/>
        <v>W33</v>
      </c>
      <c r="GY16" s="149" t="str">
        <f t="shared" ca="1" si="93"/>
        <v>W33</v>
      </c>
      <c r="GZ16" s="149" t="str">
        <f t="shared" ca="1" si="93"/>
        <v>W33</v>
      </c>
      <c r="HA16" s="149" t="str">
        <f t="shared" ca="1" si="93"/>
        <v>W33</v>
      </c>
      <c r="HB16" s="149" t="str">
        <f t="shared" ca="1" si="93"/>
        <v>W33</v>
      </c>
      <c r="HC16" s="149" t="str">
        <f t="shared" ca="1" si="93"/>
        <v>W34</v>
      </c>
      <c r="HD16" s="149" t="str">
        <f t="shared" ca="1" si="93"/>
        <v>W34</v>
      </c>
      <c r="HE16" s="149" t="str">
        <f t="shared" ca="1" si="93"/>
        <v>W34</v>
      </c>
      <c r="HF16" s="149" t="str">
        <f t="shared" ca="1" si="93"/>
        <v>W34</v>
      </c>
      <c r="HG16" s="149" t="str">
        <f t="shared" ca="1" si="93"/>
        <v>W34</v>
      </c>
      <c r="HH16" s="149" t="str">
        <f t="shared" ca="1" si="93"/>
        <v>W34</v>
      </c>
      <c r="HI16" s="149" t="str">
        <f t="shared" ca="1" si="93"/>
        <v>W34</v>
      </c>
      <c r="HJ16" s="149" t="str">
        <f t="shared" ca="1" si="93"/>
        <v>W35</v>
      </c>
      <c r="HK16" s="149" t="str">
        <f t="shared" ca="1" si="93"/>
        <v>W35</v>
      </c>
      <c r="HL16" s="149" t="str">
        <f t="shared" ca="1" si="93"/>
        <v>W35</v>
      </c>
      <c r="HM16" s="149" t="str">
        <f t="shared" ca="1" si="93"/>
        <v>W35</v>
      </c>
      <c r="HN16" s="149" t="str">
        <f t="shared" ca="1" si="93"/>
        <v>W35</v>
      </c>
      <c r="HO16" s="149" t="str">
        <f t="shared" ca="1" si="93"/>
        <v>W35</v>
      </c>
      <c r="HP16" s="149" t="str">
        <f t="shared" ca="1" si="93"/>
        <v>W35</v>
      </c>
      <c r="HQ16" s="149" t="str">
        <f t="shared" ca="1" si="93"/>
        <v>W36</v>
      </c>
      <c r="HR16" s="149" t="str">
        <f t="shared" ca="1" si="93"/>
        <v>W36</v>
      </c>
      <c r="HS16" s="149" t="str">
        <f t="shared" ca="1" si="93"/>
        <v>W36</v>
      </c>
      <c r="HT16" s="149" t="str">
        <f t="shared" ref="HT16:KE16" ca="1" si="94">Week_Name&amp;WEEKNUM(HT9,First_Day_Week2)</f>
        <v>W36</v>
      </c>
      <c r="HU16" s="149" t="str">
        <f t="shared" ca="1" si="94"/>
        <v>W36</v>
      </c>
      <c r="HV16" s="149" t="str">
        <f t="shared" ca="1" si="94"/>
        <v>W36</v>
      </c>
      <c r="HW16" s="149" t="str">
        <f t="shared" ca="1" si="94"/>
        <v>W36</v>
      </c>
      <c r="HX16" s="149" t="str">
        <f t="shared" ca="1" si="94"/>
        <v>W37</v>
      </c>
      <c r="HY16" s="149" t="str">
        <f t="shared" ca="1" si="94"/>
        <v>W37</v>
      </c>
      <c r="HZ16" s="149" t="str">
        <f t="shared" ca="1" si="94"/>
        <v>W37</v>
      </c>
      <c r="IA16" s="149" t="str">
        <f t="shared" ca="1" si="94"/>
        <v>W37</v>
      </c>
      <c r="IB16" s="149" t="str">
        <f t="shared" ca="1" si="94"/>
        <v>W37</v>
      </c>
      <c r="IC16" s="149" t="str">
        <f t="shared" ca="1" si="94"/>
        <v>W37</v>
      </c>
      <c r="ID16" s="149" t="str">
        <f t="shared" ca="1" si="94"/>
        <v>W37</v>
      </c>
      <c r="IE16" s="149" t="str">
        <f t="shared" ca="1" si="94"/>
        <v>W38</v>
      </c>
      <c r="IF16" s="149" t="str">
        <f t="shared" ca="1" si="94"/>
        <v>W38</v>
      </c>
      <c r="IG16" s="149" t="str">
        <f t="shared" ca="1" si="94"/>
        <v>W38</v>
      </c>
      <c r="IH16" s="149" t="str">
        <f t="shared" ca="1" si="94"/>
        <v>W38</v>
      </c>
      <c r="II16" s="149" t="str">
        <f t="shared" ca="1" si="94"/>
        <v>W38</v>
      </c>
      <c r="IJ16" s="149" t="str">
        <f t="shared" ca="1" si="94"/>
        <v>W38</v>
      </c>
      <c r="IK16" s="149" t="str">
        <f t="shared" ca="1" si="94"/>
        <v>W38</v>
      </c>
      <c r="IL16" s="149" t="str">
        <f t="shared" ca="1" si="94"/>
        <v>W39</v>
      </c>
      <c r="IM16" s="149" t="str">
        <f t="shared" ca="1" si="94"/>
        <v>W39</v>
      </c>
      <c r="IN16" s="149" t="str">
        <f t="shared" ca="1" si="94"/>
        <v>W39</v>
      </c>
      <c r="IO16" s="149" t="str">
        <f t="shared" ca="1" si="94"/>
        <v>W39</v>
      </c>
      <c r="IP16" s="149" t="str">
        <f t="shared" ca="1" si="94"/>
        <v>W39</v>
      </c>
      <c r="IQ16" s="149" t="str">
        <f t="shared" ca="1" si="94"/>
        <v>W39</v>
      </c>
      <c r="IR16" s="149" t="str">
        <f t="shared" ca="1" si="94"/>
        <v>W39</v>
      </c>
      <c r="IS16" s="149" t="str">
        <f t="shared" ca="1" si="94"/>
        <v>W40</v>
      </c>
      <c r="IT16" s="149" t="str">
        <f t="shared" ca="1" si="94"/>
        <v>W40</v>
      </c>
      <c r="IU16" s="149" t="str">
        <f t="shared" ca="1" si="94"/>
        <v>W40</v>
      </c>
      <c r="IV16" s="149" t="str">
        <f t="shared" ca="1" si="94"/>
        <v>W40</v>
      </c>
      <c r="IW16" s="149" t="str">
        <f t="shared" ca="1" si="94"/>
        <v>W40</v>
      </c>
      <c r="IX16" s="149" t="str">
        <f t="shared" ca="1" si="94"/>
        <v>W40</v>
      </c>
      <c r="IY16" s="149" t="str">
        <f t="shared" ca="1" si="94"/>
        <v>W40</v>
      </c>
      <c r="IZ16" s="149" t="str">
        <f t="shared" ca="1" si="94"/>
        <v>W41</v>
      </c>
      <c r="JA16" s="149" t="str">
        <f t="shared" ca="1" si="94"/>
        <v>W41</v>
      </c>
      <c r="JB16" s="149" t="str">
        <f t="shared" ca="1" si="94"/>
        <v>W41</v>
      </c>
      <c r="JC16" s="149" t="str">
        <f t="shared" ca="1" si="94"/>
        <v>W41</v>
      </c>
      <c r="JD16" s="149" t="str">
        <f t="shared" ca="1" si="94"/>
        <v>W41</v>
      </c>
      <c r="JE16" s="149" t="str">
        <f t="shared" ca="1" si="94"/>
        <v>W41</v>
      </c>
      <c r="JF16" s="149" t="str">
        <f t="shared" ca="1" si="94"/>
        <v>W41</v>
      </c>
      <c r="JG16" s="149" t="str">
        <f t="shared" ca="1" si="94"/>
        <v>W42</v>
      </c>
      <c r="JH16" s="149" t="str">
        <f t="shared" ca="1" si="94"/>
        <v>W42</v>
      </c>
      <c r="JI16" s="149" t="str">
        <f t="shared" ca="1" si="94"/>
        <v>W42</v>
      </c>
      <c r="JJ16" s="149" t="str">
        <f t="shared" ca="1" si="94"/>
        <v>W42</v>
      </c>
      <c r="JK16" s="149" t="str">
        <f t="shared" ca="1" si="94"/>
        <v>W42</v>
      </c>
      <c r="JL16" s="149" t="str">
        <f t="shared" ca="1" si="94"/>
        <v>W42</v>
      </c>
      <c r="JM16" s="149" t="str">
        <f t="shared" ca="1" si="94"/>
        <v>W42</v>
      </c>
      <c r="JN16" s="149" t="str">
        <f t="shared" ca="1" si="94"/>
        <v>W43</v>
      </c>
      <c r="JO16" s="149" t="str">
        <f t="shared" ca="1" si="94"/>
        <v>W43</v>
      </c>
      <c r="JP16" s="149" t="str">
        <f t="shared" ca="1" si="94"/>
        <v>W43</v>
      </c>
      <c r="JQ16" s="149" t="str">
        <f t="shared" ca="1" si="94"/>
        <v>W43</v>
      </c>
      <c r="JR16" s="149" t="str">
        <f t="shared" ca="1" si="94"/>
        <v>W43</v>
      </c>
      <c r="JS16" s="149" t="str">
        <f t="shared" ca="1" si="94"/>
        <v>W43</v>
      </c>
      <c r="JT16" s="149" t="str">
        <f t="shared" ca="1" si="94"/>
        <v>W43</v>
      </c>
      <c r="JU16" s="149" t="str">
        <f t="shared" ca="1" si="94"/>
        <v>W44</v>
      </c>
      <c r="JV16" s="149" t="str">
        <f t="shared" ca="1" si="94"/>
        <v>W44</v>
      </c>
      <c r="JW16" s="149" t="str">
        <f t="shared" ca="1" si="94"/>
        <v>W44</v>
      </c>
      <c r="JX16" s="149" t="str">
        <f t="shared" ca="1" si="94"/>
        <v>W44</v>
      </c>
      <c r="JY16" s="149" t="str">
        <f t="shared" ca="1" si="94"/>
        <v>W44</v>
      </c>
      <c r="JZ16" s="149" t="str">
        <f t="shared" ca="1" si="94"/>
        <v>W44</v>
      </c>
      <c r="KA16" s="149" t="str">
        <f t="shared" ca="1" si="94"/>
        <v>W44</v>
      </c>
      <c r="KB16" s="149" t="str">
        <f t="shared" ca="1" si="94"/>
        <v>W45</v>
      </c>
      <c r="KC16" s="149" t="str">
        <f t="shared" ca="1" si="94"/>
        <v>W45</v>
      </c>
      <c r="KD16" s="149" t="str">
        <f t="shared" ca="1" si="94"/>
        <v>W45</v>
      </c>
      <c r="KE16" s="149" t="str">
        <f t="shared" ca="1" si="94"/>
        <v>W45</v>
      </c>
      <c r="KF16" s="149" t="str">
        <f t="shared" ref="KF16:MQ16" ca="1" si="95">Week_Name&amp;WEEKNUM(KF9,First_Day_Week2)</f>
        <v>W45</v>
      </c>
      <c r="KG16" s="149" t="str">
        <f t="shared" ca="1" si="95"/>
        <v>W45</v>
      </c>
      <c r="KH16" s="149" t="str">
        <f t="shared" ca="1" si="95"/>
        <v>W45</v>
      </c>
      <c r="KI16" s="149" t="str">
        <f t="shared" ca="1" si="95"/>
        <v>W46</v>
      </c>
      <c r="KJ16" s="149" t="str">
        <f t="shared" ca="1" si="95"/>
        <v>W46</v>
      </c>
      <c r="KK16" s="149" t="str">
        <f t="shared" ca="1" si="95"/>
        <v>W46</v>
      </c>
      <c r="KL16" s="149" t="str">
        <f t="shared" ca="1" si="95"/>
        <v>W46</v>
      </c>
      <c r="KM16" s="149" t="str">
        <f t="shared" ca="1" si="95"/>
        <v>W46</v>
      </c>
      <c r="KN16" s="149" t="str">
        <f t="shared" ca="1" si="95"/>
        <v>W46</v>
      </c>
      <c r="KO16" s="149" t="str">
        <f t="shared" ca="1" si="95"/>
        <v>W46</v>
      </c>
      <c r="KP16" s="149" t="str">
        <f t="shared" ca="1" si="95"/>
        <v>W47</v>
      </c>
      <c r="KQ16" s="149" t="str">
        <f t="shared" ca="1" si="95"/>
        <v>W47</v>
      </c>
      <c r="KR16" s="149" t="str">
        <f t="shared" ca="1" si="95"/>
        <v>W47</v>
      </c>
      <c r="KS16" s="149" t="str">
        <f t="shared" ca="1" si="95"/>
        <v>W47</v>
      </c>
      <c r="KT16" s="149" t="str">
        <f t="shared" ca="1" si="95"/>
        <v>W47</v>
      </c>
      <c r="KU16" s="149" t="str">
        <f t="shared" ca="1" si="95"/>
        <v>W47</v>
      </c>
      <c r="KV16" s="149" t="str">
        <f t="shared" ca="1" si="95"/>
        <v>W47</v>
      </c>
      <c r="KW16" s="149" t="str">
        <f t="shared" ca="1" si="95"/>
        <v>W48</v>
      </c>
      <c r="KX16" s="149" t="str">
        <f t="shared" ca="1" si="95"/>
        <v>W48</v>
      </c>
      <c r="KY16" s="149" t="str">
        <f t="shared" ca="1" si="95"/>
        <v>W48</v>
      </c>
      <c r="KZ16" s="149" t="str">
        <f t="shared" ca="1" si="95"/>
        <v>W48</v>
      </c>
      <c r="LA16" s="149" t="str">
        <f t="shared" ca="1" si="95"/>
        <v>W48</v>
      </c>
      <c r="LB16" s="149" t="str">
        <f t="shared" ca="1" si="95"/>
        <v>W48</v>
      </c>
      <c r="LC16" s="149" t="str">
        <f t="shared" ca="1" si="95"/>
        <v>W48</v>
      </c>
      <c r="LD16" s="149" t="str">
        <f t="shared" ca="1" si="95"/>
        <v>W49</v>
      </c>
      <c r="LE16" s="149" t="str">
        <f t="shared" ca="1" si="95"/>
        <v>W49</v>
      </c>
      <c r="LF16" s="149" t="str">
        <f t="shared" ca="1" si="95"/>
        <v>W49</v>
      </c>
      <c r="LG16" s="149" t="str">
        <f t="shared" ca="1" si="95"/>
        <v>W49</v>
      </c>
      <c r="LH16" s="149" t="str">
        <f t="shared" ca="1" si="95"/>
        <v>W49</v>
      </c>
      <c r="LI16" s="149" t="str">
        <f t="shared" ca="1" si="95"/>
        <v>W49</v>
      </c>
      <c r="LJ16" s="149" t="str">
        <f t="shared" ca="1" si="95"/>
        <v>W49</v>
      </c>
      <c r="LK16" s="149" t="str">
        <f t="shared" ca="1" si="95"/>
        <v>W50</v>
      </c>
      <c r="LL16" s="149" t="str">
        <f t="shared" ca="1" si="95"/>
        <v>W50</v>
      </c>
      <c r="LM16" s="149" t="str">
        <f t="shared" ca="1" si="95"/>
        <v>W50</v>
      </c>
      <c r="LN16" s="149" t="str">
        <f t="shared" ca="1" si="95"/>
        <v>W50</v>
      </c>
      <c r="LO16" s="149" t="str">
        <f t="shared" ca="1" si="95"/>
        <v>W50</v>
      </c>
      <c r="LP16" s="149" t="str">
        <f t="shared" ca="1" si="95"/>
        <v>W50</v>
      </c>
      <c r="LQ16" s="149" t="str">
        <f t="shared" ca="1" si="95"/>
        <v>W50</v>
      </c>
      <c r="LR16" s="149" t="str">
        <f t="shared" ca="1" si="95"/>
        <v>W51</v>
      </c>
      <c r="LS16" s="149" t="str">
        <f t="shared" ca="1" si="95"/>
        <v>W51</v>
      </c>
      <c r="LT16" s="149" t="str">
        <f t="shared" ca="1" si="95"/>
        <v>W51</v>
      </c>
      <c r="LU16" s="149" t="str">
        <f t="shared" ca="1" si="95"/>
        <v>W51</v>
      </c>
      <c r="LV16" s="149" t="str">
        <f t="shared" ca="1" si="95"/>
        <v>W51</v>
      </c>
      <c r="LW16" s="149" t="str">
        <f t="shared" ca="1" si="95"/>
        <v>W51</v>
      </c>
      <c r="LX16" s="149" t="str">
        <f t="shared" ca="1" si="95"/>
        <v>W51</v>
      </c>
      <c r="LY16" s="149" t="str">
        <f t="shared" ca="1" si="95"/>
        <v>W52</v>
      </c>
      <c r="LZ16" s="149" t="str">
        <f t="shared" ca="1" si="95"/>
        <v>W52</v>
      </c>
      <c r="MA16" s="149" t="str">
        <f t="shared" ca="1" si="95"/>
        <v>W52</v>
      </c>
      <c r="MB16" s="149" t="str">
        <f t="shared" ca="1" si="95"/>
        <v>W52</v>
      </c>
      <c r="MC16" s="149" t="str">
        <f t="shared" ca="1" si="95"/>
        <v>W52</v>
      </c>
      <c r="MD16" s="149" t="str">
        <f t="shared" ca="1" si="95"/>
        <v>W52</v>
      </c>
      <c r="ME16" s="149" t="str">
        <f t="shared" ca="1" si="95"/>
        <v>W52</v>
      </c>
      <c r="MF16" s="149" t="str">
        <f t="shared" ca="1" si="95"/>
        <v>W1</v>
      </c>
      <c r="MG16" s="149" t="str">
        <f t="shared" ca="1" si="95"/>
        <v>W1</v>
      </c>
      <c r="MH16" s="149" t="str">
        <f t="shared" ca="1" si="95"/>
        <v>W1</v>
      </c>
      <c r="MI16" s="149" t="str">
        <f t="shared" ca="1" si="95"/>
        <v>W1</v>
      </c>
      <c r="MJ16" s="149" t="str">
        <f t="shared" ca="1" si="95"/>
        <v>W1</v>
      </c>
      <c r="MK16" s="149" t="str">
        <f t="shared" ca="1" si="95"/>
        <v>W1</v>
      </c>
      <c r="ML16" s="149" t="str">
        <f t="shared" ca="1" si="95"/>
        <v>W1</v>
      </c>
      <c r="MM16" s="149" t="str">
        <f t="shared" ca="1" si="95"/>
        <v>W2</v>
      </c>
      <c r="MN16" s="149" t="str">
        <f t="shared" ca="1" si="95"/>
        <v>W2</v>
      </c>
      <c r="MO16" s="149" t="str">
        <f t="shared" ca="1" si="95"/>
        <v>W2</v>
      </c>
      <c r="MP16" s="149" t="str">
        <f t="shared" ca="1" si="95"/>
        <v>W2</v>
      </c>
      <c r="MQ16" s="149" t="str">
        <f t="shared" ca="1" si="95"/>
        <v>W2</v>
      </c>
      <c r="MR16" s="149" t="str">
        <f t="shared" ref="MR16:PC16" ca="1" si="96">Week_Name&amp;WEEKNUM(MR9,First_Day_Week2)</f>
        <v>W2</v>
      </c>
      <c r="MS16" s="149" t="str">
        <f t="shared" ca="1" si="96"/>
        <v>W2</v>
      </c>
      <c r="MT16" s="149" t="str">
        <f t="shared" ca="1" si="96"/>
        <v>W3</v>
      </c>
      <c r="MU16" s="149" t="str">
        <f t="shared" ca="1" si="96"/>
        <v>W3</v>
      </c>
      <c r="MV16" s="149" t="str">
        <f t="shared" ca="1" si="96"/>
        <v>W3</v>
      </c>
      <c r="MW16" s="149" t="str">
        <f t="shared" ca="1" si="96"/>
        <v>W3</v>
      </c>
      <c r="MX16" s="149" t="str">
        <f t="shared" ca="1" si="96"/>
        <v>W3</v>
      </c>
      <c r="MY16" s="149" t="str">
        <f t="shared" ca="1" si="96"/>
        <v>W3</v>
      </c>
      <c r="MZ16" s="149" t="str">
        <f t="shared" ca="1" si="96"/>
        <v>W3</v>
      </c>
      <c r="NA16" s="149" t="str">
        <f t="shared" ca="1" si="96"/>
        <v>W4</v>
      </c>
      <c r="NB16" s="149" t="str">
        <f t="shared" ca="1" si="96"/>
        <v>W4</v>
      </c>
      <c r="NC16" s="149" t="str">
        <f t="shared" ca="1" si="96"/>
        <v>W4</v>
      </c>
      <c r="ND16" s="149" t="str">
        <f t="shared" ca="1" si="96"/>
        <v>W4</v>
      </c>
      <c r="NE16" s="149" t="str">
        <f t="shared" ca="1" si="96"/>
        <v>W4</v>
      </c>
      <c r="NF16" s="149" t="str">
        <f t="shared" ca="1" si="96"/>
        <v>W4</v>
      </c>
      <c r="NG16" s="149" t="str">
        <f t="shared" ca="1" si="96"/>
        <v>W4</v>
      </c>
      <c r="NH16" s="149" t="str">
        <f t="shared" ca="1" si="96"/>
        <v>W5</v>
      </c>
      <c r="NI16" s="149" t="str">
        <f t="shared" ca="1" si="96"/>
        <v>W5</v>
      </c>
      <c r="NJ16" s="149" t="str">
        <f t="shared" ca="1" si="96"/>
        <v>W5</v>
      </c>
      <c r="NK16" s="149" t="str">
        <f t="shared" ca="1" si="96"/>
        <v>W5</v>
      </c>
      <c r="NL16" s="149" t="str">
        <f t="shared" ca="1" si="96"/>
        <v>W5</v>
      </c>
      <c r="NM16" s="149" t="str">
        <f t="shared" ca="1" si="96"/>
        <v>W5</v>
      </c>
      <c r="NN16" s="149" t="str">
        <f t="shared" ca="1" si="96"/>
        <v>W5</v>
      </c>
      <c r="NO16" s="149" t="str">
        <f t="shared" ca="1" si="96"/>
        <v>W6</v>
      </c>
      <c r="NP16" s="149" t="str">
        <f t="shared" ca="1" si="96"/>
        <v>W6</v>
      </c>
      <c r="NQ16" s="149" t="str">
        <f t="shared" ca="1" si="96"/>
        <v>W6</v>
      </c>
      <c r="NR16" s="149" t="str">
        <f t="shared" ca="1" si="96"/>
        <v>W6</v>
      </c>
      <c r="NS16" s="149" t="str">
        <f t="shared" ca="1" si="96"/>
        <v>W6</v>
      </c>
      <c r="NT16" s="149" t="str">
        <f t="shared" ca="1" si="96"/>
        <v>W6</v>
      </c>
      <c r="NU16" s="149" t="str">
        <f t="shared" ca="1" si="96"/>
        <v>W6</v>
      </c>
      <c r="NV16" s="149" t="str">
        <f t="shared" ca="1" si="96"/>
        <v>W7</v>
      </c>
      <c r="NW16" s="149" t="str">
        <f t="shared" ca="1" si="96"/>
        <v>W7</v>
      </c>
      <c r="NX16" s="149" t="str">
        <f t="shared" ca="1" si="96"/>
        <v>W7</v>
      </c>
      <c r="NY16" s="149" t="str">
        <f t="shared" ca="1" si="96"/>
        <v>W7</v>
      </c>
      <c r="NZ16" s="149" t="str">
        <f t="shared" ca="1" si="96"/>
        <v>W7</v>
      </c>
      <c r="OA16" s="149" t="str">
        <f t="shared" ca="1" si="96"/>
        <v>W7</v>
      </c>
      <c r="OB16" s="149" t="str">
        <f t="shared" ca="1" si="96"/>
        <v>W7</v>
      </c>
      <c r="OC16" s="149" t="str">
        <f t="shared" ca="1" si="96"/>
        <v>W8</v>
      </c>
      <c r="OD16" s="149" t="str">
        <f t="shared" ca="1" si="96"/>
        <v>W8</v>
      </c>
      <c r="OE16" s="149" t="str">
        <f t="shared" ca="1" si="96"/>
        <v>W8</v>
      </c>
      <c r="OF16" s="149" t="str">
        <f t="shared" ca="1" si="96"/>
        <v>W8</v>
      </c>
      <c r="OG16" s="149" t="str">
        <f t="shared" ca="1" si="96"/>
        <v>W8</v>
      </c>
      <c r="OH16" s="149" t="str">
        <f t="shared" ca="1" si="96"/>
        <v>W8</v>
      </c>
      <c r="OI16" s="149" t="str">
        <f t="shared" ca="1" si="96"/>
        <v>W8</v>
      </c>
      <c r="OJ16" s="149" t="str">
        <f t="shared" ca="1" si="96"/>
        <v>W9</v>
      </c>
      <c r="OK16" s="149" t="str">
        <f t="shared" ca="1" si="96"/>
        <v>W9</v>
      </c>
      <c r="OL16" s="149" t="str">
        <f t="shared" ca="1" si="96"/>
        <v>W9</v>
      </c>
      <c r="OM16" s="149" t="str">
        <f t="shared" ca="1" si="96"/>
        <v>W9</v>
      </c>
      <c r="ON16" s="149" t="str">
        <f t="shared" ca="1" si="96"/>
        <v>W9</v>
      </c>
      <c r="OO16" s="149" t="str">
        <f t="shared" ca="1" si="96"/>
        <v>W9</v>
      </c>
      <c r="OP16" s="149" t="str">
        <f t="shared" ca="1" si="96"/>
        <v>W9</v>
      </c>
      <c r="OQ16" s="149" t="str">
        <f t="shared" ca="1" si="96"/>
        <v>W10</v>
      </c>
      <c r="OR16" s="149" t="str">
        <f t="shared" ca="1" si="96"/>
        <v>W10</v>
      </c>
      <c r="OS16" s="149" t="str">
        <f t="shared" ca="1" si="96"/>
        <v>W10</v>
      </c>
      <c r="OT16" s="149" t="str">
        <f t="shared" ca="1" si="96"/>
        <v>W10</v>
      </c>
      <c r="OU16" s="149" t="str">
        <f t="shared" ca="1" si="96"/>
        <v>W10</v>
      </c>
      <c r="OV16" s="149" t="str">
        <f t="shared" ca="1" si="96"/>
        <v>W10</v>
      </c>
      <c r="OW16" s="149" t="str">
        <f t="shared" ca="1" si="96"/>
        <v>W10</v>
      </c>
      <c r="OX16" s="149" t="str">
        <f t="shared" ca="1" si="96"/>
        <v>W11</v>
      </c>
      <c r="OY16" s="149" t="str">
        <f t="shared" ca="1" si="96"/>
        <v>W11</v>
      </c>
      <c r="OZ16" s="149" t="str">
        <f t="shared" ca="1" si="96"/>
        <v>W11</v>
      </c>
      <c r="PA16" s="149" t="str">
        <f t="shared" ca="1" si="96"/>
        <v>W11</v>
      </c>
      <c r="PB16" s="149" t="str">
        <f t="shared" ca="1" si="96"/>
        <v>W11</v>
      </c>
      <c r="PC16" s="149" t="str">
        <f t="shared" ca="1" si="96"/>
        <v>W11</v>
      </c>
      <c r="PD16" s="149" t="str">
        <f t="shared" ref="PD16:RO16" ca="1" si="97">Week_Name&amp;WEEKNUM(PD9,First_Day_Week2)</f>
        <v>W11</v>
      </c>
      <c r="PE16" s="149" t="str">
        <f t="shared" ca="1" si="97"/>
        <v>W12</v>
      </c>
      <c r="PF16" s="149" t="str">
        <f t="shared" ca="1" si="97"/>
        <v>W12</v>
      </c>
      <c r="PG16" s="149" t="str">
        <f t="shared" ca="1" si="97"/>
        <v>W12</v>
      </c>
      <c r="PH16" s="149" t="str">
        <f t="shared" ca="1" si="97"/>
        <v>W12</v>
      </c>
      <c r="PI16" s="149" t="str">
        <f t="shared" ca="1" si="97"/>
        <v>W12</v>
      </c>
      <c r="PJ16" s="149" t="str">
        <f t="shared" ca="1" si="97"/>
        <v>W12</v>
      </c>
      <c r="PK16" s="149" t="str">
        <f t="shared" ca="1" si="97"/>
        <v>W12</v>
      </c>
      <c r="PL16" s="149" t="str">
        <f t="shared" ca="1" si="97"/>
        <v>W13</v>
      </c>
      <c r="PM16" s="149" t="str">
        <f t="shared" ca="1" si="97"/>
        <v>W13</v>
      </c>
      <c r="PN16" s="149" t="str">
        <f t="shared" ca="1" si="97"/>
        <v>W13</v>
      </c>
      <c r="PO16" s="149" t="str">
        <f t="shared" ca="1" si="97"/>
        <v>W13</v>
      </c>
      <c r="PP16" s="149" t="str">
        <f t="shared" ca="1" si="97"/>
        <v>W13</v>
      </c>
      <c r="PQ16" s="149" t="str">
        <f t="shared" ca="1" si="97"/>
        <v>W13</v>
      </c>
      <c r="PR16" s="149" t="str">
        <f t="shared" ca="1" si="97"/>
        <v>W13</v>
      </c>
      <c r="PS16" s="149" t="str">
        <f t="shared" ca="1" si="97"/>
        <v>W14</v>
      </c>
      <c r="PT16" s="149" t="str">
        <f t="shared" ca="1" si="97"/>
        <v>W14</v>
      </c>
      <c r="PU16" s="149" t="str">
        <f t="shared" ca="1" si="97"/>
        <v>W14</v>
      </c>
      <c r="PV16" s="149" t="str">
        <f t="shared" ca="1" si="97"/>
        <v>W14</v>
      </c>
      <c r="PW16" s="149" t="str">
        <f t="shared" ca="1" si="97"/>
        <v>W14</v>
      </c>
      <c r="PX16" s="149" t="str">
        <f t="shared" ca="1" si="97"/>
        <v>W14</v>
      </c>
      <c r="PY16" s="149" t="str">
        <f t="shared" ca="1" si="97"/>
        <v>W14</v>
      </c>
      <c r="PZ16" s="149" t="str">
        <f t="shared" ca="1" si="97"/>
        <v>W15</v>
      </c>
      <c r="QA16" s="149" t="str">
        <f t="shared" ca="1" si="97"/>
        <v>W15</v>
      </c>
      <c r="QB16" s="149" t="str">
        <f t="shared" ca="1" si="97"/>
        <v>W15</v>
      </c>
      <c r="QC16" s="149" t="str">
        <f t="shared" ca="1" si="97"/>
        <v>W15</v>
      </c>
      <c r="QD16" s="149" t="str">
        <f t="shared" ca="1" si="97"/>
        <v>W15</v>
      </c>
      <c r="QE16" s="149" t="str">
        <f t="shared" ca="1" si="97"/>
        <v>W15</v>
      </c>
      <c r="QF16" s="149" t="str">
        <f t="shared" ca="1" si="97"/>
        <v>W15</v>
      </c>
      <c r="QG16" s="149" t="str">
        <f t="shared" ca="1" si="97"/>
        <v>W16</v>
      </c>
      <c r="QH16" s="149" t="str">
        <f t="shared" ca="1" si="97"/>
        <v>W16</v>
      </c>
      <c r="QI16" s="149" t="str">
        <f t="shared" ca="1" si="97"/>
        <v>W16</v>
      </c>
      <c r="QJ16" s="149" t="str">
        <f t="shared" ca="1" si="97"/>
        <v>W16</v>
      </c>
      <c r="QK16" s="149" t="str">
        <f t="shared" ca="1" si="97"/>
        <v>W16</v>
      </c>
      <c r="QL16" s="149" t="str">
        <f t="shared" ca="1" si="97"/>
        <v>W16</v>
      </c>
      <c r="QM16" s="149" t="str">
        <f t="shared" ca="1" si="97"/>
        <v>W16</v>
      </c>
      <c r="QN16" s="149" t="str">
        <f t="shared" ca="1" si="97"/>
        <v>W17</v>
      </c>
      <c r="QO16" s="149" t="str">
        <f t="shared" ca="1" si="97"/>
        <v>W17</v>
      </c>
      <c r="QP16" s="149" t="str">
        <f t="shared" ca="1" si="97"/>
        <v>W17</v>
      </c>
      <c r="QQ16" s="149" t="str">
        <f t="shared" ca="1" si="97"/>
        <v>W17</v>
      </c>
      <c r="QR16" s="149" t="str">
        <f t="shared" ca="1" si="97"/>
        <v>W17</v>
      </c>
      <c r="QS16" s="149" t="str">
        <f t="shared" ca="1" si="97"/>
        <v>W17</v>
      </c>
      <c r="QT16" s="149" t="str">
        <f t="shared" ca="1" si="97"/>
        <v>W17</v>
      </c>
      <c r="QU16" s="149" t="str">
        <f t="shared" ca="1" si="97"/>
        <v>W18</v>
      </c>
      <c r="QV16" s="149" t="str">
        <f t="shared" ca="1" si="97"/>
        <v>W18</v>
      </c>
      <c r="QW16" s="149" t="str">
        <f t="shared" ca="1" si="97"/>
        <v>W18</v>
      </c>
      <c r="QX16" s="149" t="str">
        <f t="shared" ca="1" si="97"/>
        <v>W18</v>
      </c>
      <c r="QY16" s="149" t="str">
        <f t="shared" ca="1" si="97"/>
        <v>W18</v>
      </c>
      <c r="QZ16" s="149" t="str">
        <f t="shared" ca="1" si="97"/>
        <v>W18</v>
      </c>
      <c r="RA16" s="149" t="str">
        <f t="shared" ca="1" si="97"/>
        <v>W18</v>
      </c>
      <c r="RB16" s="149" t="str">
        <f t="shared" ca="1" si="97"/>
        <v>W19</v>
      </c>
      <c r="RC16" s="149" t="str">
        <f t="shared" ca="1" si="97"/>
        <v>W19</v>
      </c>
      <c r="RD16" s="149" t="str">
        <f t="shared" ca="1" si="97"/>
        <v>W19</v>
      </c>
      <c r="RE16" s="149" t="str">
        <f t="shared" ca="1" si="97"/>
        <v>W19</v>
      </c>
      <c r="RF16" s="149" t="str">
        <f t="shared" ca="1" si="97"/>
        <v>W19</v>
      </c>
      <c r="RG16" s="149" t="str">
        <f t="shared" ca="1" si="97"/>
        <v>W19</v>
      </c>
      <c r="RH16" s="149" t="str">
        <f t="shared" ca="1" si="97"/>
        <v>W19</v>
      </c>
      <c r="RI16" s="149" t="str">
        <f t="shared" ca="1" si="97"/>
        <v>W20</v>
      </c>
      <c r="RJ16" s="149" t="str">
        <f t="shared" ca="1" si="97"/>
        <v>W20</v>
      </c>
      <c r="RK16" s="149" t="str">
        <f t="shared" ca="1" si="97"/>
        <v>W20</v>
      </c>
      <c r="RL16" s="149" t="str">
        <f t="shared" ca="1" si="97"/>
        <v>W20</v>
      </c>
      <c r="RM16" s="149" t="str">
        <f t="shared" ca="1" si="97"/>
        <v>W20</v>
      </c>
      <c r="RN16" s="149" t="str">
        <f t="shared" ca="1" si="97"/>
        <v>W20</v>
      </c>
      <c r="RO16" s="149" t="str">
        <f t="shared" ca="1" si="97"/>
        <v>W20</v>
      </c>
      <c r="RP16" s="149" t="str">
        <f t="shared" ref="RP16:UA16" ca="1" si="98">Week_Name&amp;WEEKNUM(RP9,First_Day_Week2)</f>
        <v>W21</v>
      </c>
      <c r="RQ16" s="149" t="str">
        <f t="shared" ca="1" si="98"/>
        <v>W21</v>
      </c>
      <c r="RR16" s="149" t="str">
        <f t="shared" ca="1" si="98"/>
        <v>W21</v>
      </c>
      <c r="RS16" s="149" t="str">
        <f t="shared" ca="1" si="98"/>
        <v>W21</v>
      </c>
      <c r="RT16" s="149" t="str">
        <f t="shared" ca="1" si="98"/>
        <v>W21</v>
      </c>
      <c r="RU16" s="149" t="str">
        <f t="shared" ca="1" si="98"/>
        <v>W21</v>
      </c>
      <c r="RV16" s="149" t="str">
        <f t="shared" ca="1" si="98"/>
        <v>W21</v>
      </c>
      <c r="RW16" s="149" t="str">
        <f t="shared" ca="1" si="98"/>
        <v>W22</v>
      </c>
      <c r="RX16" s="149" t="str">
        <f t="shared" ca="1" si="98"/>
        <v>W22</v>
      </c>
      <c r="RY16" s="149" t="str">
        <f t="shared" ca="1" si="98"/>
        <v>W22</v>
      </c>
      <c r="RZ16" s="149" t="str">
        <f t="shared" ca="1" si="98"/>
        <v>W22</v>
      </c>
      <c r="SA16" s="149" t="str">
        <f t="shared" ca="1" si="98"/>
        <v>W22</v>
      </c>
      <c r="SB16" s="149" t="str">
        <f t="shared" ca="1" si="98"/>
        <v>W22</v>
      </c>
      <c r="SC16" s="149" t="str">
        <f t="shared" ca="1" si="98"/>
        <v>W22</v>
      </c>
      <c r="SD16" s="149" t="str">
        <f t="shared" ca="1" si="98"/>
        <v>W23</v>
      </c>
      <c r="SE16" s="149" t="str">
        <f t="shared" ca="1" si="98"/>
        <v>W23</v>
      </c>
      <c r="SF16" s="149" t="str">
        <f t="shared" ca="1" si="98"/>
        <v>W23</v>
      </c>
      <c r="SG16" s="149" t="str">
        <f t="shared" ca="1" si="98"/>
        <v>W23</v>
      </c>
      <c r="SH16" s="149" t="str">
        <f t="shared" ca="1" si="98"/>
        <v>W23</v>
      </c>
      <c r="SI16" s="149" t="str">
        <f t="shared" ca="1" si="98"/>
        <v>W23</v>
      </c>
      <c r="SJ16" s="149" t="str">
        <f t="shared" ca="1" si="98"/>
        <v>W23</v>
      </c>
      <c r="SK16" s="149" t="str">
        <f t="shared" ca="1" si="98"/>
        <v>W24</v>
      </c>
      <c r="SL16" s="149" t="str">
        <f t="shared" ca="1" si="98"/>
        <v>W24</v>
      </c>
      <c r="SM16" s="149" t="str">
        <f t="shared" ca="1" si="98"/>
        <v>W24</v>
      </c>
      <c r="SN16" s="149" t="str">
        <f t="shared" ca="1" si="98"/>
        <v>W24</v>
      </c>
      <c r="SO16" s="149" t="str">
        <f t="shared" ca="1" si="98"/>
        <v>W24</v>
      </c>
      <c r="SP16" s="149" t="str">
        <f t="shared" ca="1" si="98"/>
        <v>W24</v>
      </c>
      <c r="SQ16" s="149" t="str">
        <f t="shared" ca="1" si="98"/>
        <v>W24</v>
      </c>
      <c r="SR16" s="149" t="str">
        <f t="shared" ca="1" si="98"/>
        <v>W25</v>
      </c>
      <c r="SS16" s="149" t="str">
        <f t="shared" ca="1" si="98"/>
        <v>W25</v>
      </c>
      <c r="ST16" s="149" t="str">
        <f t="shared" ca="1" si="98"/>
        <v>W25</v>
      </c>
      <c r="SU16" s="149" t="str">
        <f t="shared" ca="1" si="98"/>
        <v>W25</v>
      </c>
      <c r="SV16" s="149" t="str">
        <f t="shared" ca="1" si="98"/>
        <v>W25</v>
      </c>
      <c r="SW16" s="149" t="str">
        <f t="shared" ca="1" si="98"/>
        <v>W25</v>
      </c>
      <c r="SX16" s="149" t="str">
        <f t="shared" ca="1" si="98"/>
        <v>W25</v>
      </c>
      <c r="SY16" s="149" t="str">
        <f t="shared" ca="1" si="98"/>
        <v>W26</v>
      </c>
      <c r="SZ16" s="149" t="str">
        <f t="shared" ca="1" si="98"/>
        <v>W26</v>
      </c>
      <c r="TA16" s="149" t="str">
        <f t="shared" ca="1" si="98"/>
        <v>W26</v>
      </c>
      <c r="TB16" s="149" t="str">
        <f t="shared" ca="1" si="98"/>
        <v>W26</v>
      </c>
      <c r="TC16" s="149" t="str">
        <f t="shared" ca="1" si="98"/>
        <v>W26</v>
      </c>
      <c r="TD16" s="149" t="str">
        <f t="shared" ca="1" si="98"/>
        <v>W26</v>
      </c>
      <c r="TE16" s="149" t="str">
        <f t="shared" ca="1" si="98"/>
        <v>W26</v>
      </c>
      <c r="TF16" s="149" t="str">
        <f t="shared" ca="1" si="98"/>
        <v>W27</v>
      </c>
      <c r="TG16" s="149" t="str">
        <f t="shared" ca="1" si="98"/>
        <v>W27</v>
      </c>
      <c r="TH16" s="149" t="str">
        <f t="shared" ca="1" si="98"/>
        <v>W27</v>
      </c>
      <c r="TI16" s="149" t="str">
        <f t="shared" ca="1" si="98"/>
        <v>W27</v>
      </c>
      <c r="TJ16" s="149" t="str">
        <f t="shared" ca="1" si="98"/>
        <v>W27</v>
      </c>
      <c r="TK16" s="149" t="str">
        <f t="shared" ca="1" si="98"/>
        <v>W27</v>
      </c>
      <c r="TL16" s="149" t="str">
        <f t="shared" ca="1" si="98"/>
        <v>W27</v>
      </c>
      <c r="TM16" s="149" t="str">
        <f t="shared" ca="1" si="98"/>
        <v>W28</v>
      </c>
      <c r="TN16" s="149" t="str">
        <f t="shared" ca="1" si="98"/>
        <v>W28</v>
      </c>
      <c r="TO16" s="149" t="str">
        <f t="shared" ca="1" si="98"/>
        <v>W28</v>
      </c>
      <c r="TP16" s="149" t="str">
        <f t="shared" ca="1" si="98"/>
        <v>W28</v>
      </c>
      <c r="TQ16" s="149" t="str">
        <f t="shared" ca="1" si="98"/>
        <v>W28</v>
      </c>
      <c r="TR16" s="149" t="str">
        <f t="shared" ca="1" si="98"/>
        <v>W28</v>
      </c>
      <c r="TS16" s="149" t="str">
        <f t="shared" ca="1" si="98"/>
        <v>W28</v>
      </c>
      <c r="TT16" s="149" t="str">
        <f t="shared" ca="1" si="98"/>
        <v>W29</v>
      </c>
      <c r="TU16" s="149" t="str">
        <f t="shared" ca="1" si="98"/>
        <v>W29</v>
      </c>
      <c r="TV16" s="149" t="str">
        <f t="shared" ca="1" si="98"/>
        <v>W29</v>
      </c>
      <c r="TW16" s="149" t="str">
        <f t="shared" ca="1" si="98"/>
        <v>W29</v>
      </c>
      <c r="TX16" s="149" t="str">
        <f t="shared" ca="1" si="98"/>
        <v>W29</v>
      </c>
      <c r="TY16" s="149" t="str">
        <f t="shared" ca="1" si="98"/>
        <v>W29</v>
      </c>
      <c r="TZ16" s="149" t="str">
        <f t="shared" ca="1" si="98"/>
        <v>W29</v>
      </c>
      <c r="UA16" s="149" t="str">
        <f t="shared" ca="1" si="98"/>
        <v>W30</v>
      </c>
      <c r="UB16" s="149" t="str">
        <f t="shared" ref="UB16:UM16" ca="1" si="99">Week_Name&amp;WEEKNUM(UB9,First_Day_Week2)</f>
        <v>W30</v>
      </c>
      <c r="UC16" s="149" t="str">
        <f t="shared" ca="1" si="99"/>
        <v>W30</v>
      </c>
      <c r="UD16" s="149" t="str">
        <f t="shared" ca="1" si="99"/>
        <v>W30</v>
      </c>
      <c r="UE16" s="149" t="str">
        <f t="shared" ca="1" si="99"/>
        <v>W30</v>
      </c>
      <c r="UF16" s="149" t="str">
        <f t="shared" ca="1" si="99"/>
        <v>W30</v>
      </c>
      <c r="UG16" s="149" t="str">
        <f t="shared" ca="1" si="99"/>
        <v>W30</v>
      </c>
      <c r="UH16" s="149" t="str">
        <f t="shared" ca="1" si="99"/>
        <v>W31</v>
      </c>
      <c r="UI16" s="149" t="str">
        <f t="shared" ca="1" si="99"/>
        <v>W31</v>
      </c>
      <c r="UJ16" s="149" t="str">
        <f t="shared" ca="1" si="99"/>
        <v>W31</v>
      </c>
      <c r="UK16" s="149" t="str">
        <f t="shared" ca="1" si="99"/>
        <v>W31</v>
      </c>
      <c r="UL16" s="149" t="str">
        <f t="shared" ca="1" si="99"/>
        <v>W31</v>
      </c>
      <c r="UM16" s="149" t="str">
        <f t="shared" ca="1" si="99"/>
        <v>W31</v>
      </c>
    </row>
    <row r="17" spans="1:559" s="133" customFormat="1" ht="13.5" customHeight="1">
      <c r="A17" s="1"/>
      <c r="B17" s="150"/>
      <c r="C17" s="150"/>
      <c r="D17" s="150"/>
      <c r="E17" s="150"/>
      <c r="F17" s="150"/>
      <c r="G17" s="150"/>
      <c r="H17" s="150"/>
      <c r="I17" s="1"/>
      <c r="J17" s="252"/>
      <c r="K17" s="143"/>
      <c r="L17" s="236"/>
      <c r="M17" s="143"/>
      <c r="N17" s="129"/>
      <c r="O17" s="143"/>
      <c r="P17" s="143"/>
      <c r="Q17" s="350" t="s">
        <v>1662</v>
      </c>
      <c r="R17" s="350"/>
      <c r="S17" s="350"/>
      <c r="T17" s="350"/>
      <c r="U17" s="350"/>
      <c r="V17" s="350"/>
      <c r="W17" s="350"/>
      <c r="X17" s="350"/>
      <c r="Y17" s="350"/>
      <c r="Z17" s="350"/>
      <c r="AA17" s="350"/>
      <c r="AB17" s="350"/>
      <c r="AC17" s="350"/>
      <c r="AD17" s="350"/>
      <c r="AE17" s="351" t="s">
        <v>33</v>
      </c>
      <c r="AF17" s="351"/>
      <c r="AG17" s="351"/>
      <c r="AH17" s="351"/>
      <c r="AI17" s="352" t="s">
        <v>1672</v>
      </c>
      <c r="AJ17" s="151" t="str">
        <f t="shared" ref="AJ17:CU17" si="100">IF(TEXT(AJ9,"ddd")="ddd",UPPER(LEFT(TEXT(AJ9,"jjj"),1)),UPPER(LEFT(TEXT(AJ9,"ddd"),1)))</f>
        <v>L</v>
      </c>
      <c r="AK17" s="151" t="str">
        <f t="shared" si="100"/>
        <v>M</v>
      </c>
      <c r="AL17" s="151" t="str">
        <f t="shared" si="100"/>
        <v>M</v>
      </c>
      <c r="AM17" s="151" t="str">
        <f t="shared" si="100"/>
        <v>J</v>
      </c>
      <c r="AN17" s="151" t="str">
        <f t="shared" si="100"/>
        <v>V</v>
      </c>
      <c r="AO17" s="151" t="str">
        <f t="shared" si="100"/>
        <v>S</v>
      </c>
      <c r="AP17" s="151" t="str">
        <f t="shared" si="100"/>
        <v>D</v>
      </c>
      <c r="AQ17" s="151" t="str">
        <f t="shared" si="100"/>
        <v>L</v>
      </c>
      <c r="AR17" s="151" t="str">
        <f t="shared" si="100"/>
        <v>M</v>
      </c>
      <c r="AS17" s="151" t="str">
        <f t="shared" si="100"/>
        <v>M</v>
      </c>
      <c r="AT17" s="151" t="str">
        <f t="shared" si="100"/>
        <v>J</v>
      </c>
      <c r="AU17" s="151" t="str">
        <f t="shared" si="100"/>
        <v>V</v>
      </c>
      <c r="AV17" s="151" t="str">
        <f t="shared" si="100"/>
        <v>S</v>
      </c>
      <c r="AW17" s="151" t="str">
        <f t="shared" si="100"/>
        <v>D</v>
      </c>
      <c r="AX17" s="151" t="str">
        <f t="shared" si="100"/>
        <v>L</v>
      </c>
      <c r="AY17" s="151" t="str">
        <f t="shared" si="100"/>
        <v>M</v>
      </c>
      <c r="AZ17" s="151" t="str">
        <f t="shared" si="100"/>
        <v>M</v>
      </c>
      <c r="BA17" s="151" t="str">
        <f t="shared" si="100"/>
        <v>J</v>
      </c>
      <c r="BB17" s="151" t="str">
        <f t="shared" si="100"/>
        <v>V</v>
      </c>
      <c r="BC17" s="151" t="str">
        <f t="shared" si="100"/>
        <v>S</v>
      </c>
      <c r="BD17" s="151" t="str">
        <f t="shared" si="100"/>
        <v>D</v>
      </c>
      <c r="BE17" s="151" t="str">
        <f t="shared" si="100"/>
        <v>L</v>
      </c>
      <c r="BF17" s="151" t="str">
        <f t="shared" si="100"/>
        <v>M</v>
      </c>
      <c r="BG17" s="151" t="str">
        <f t="shared" si="100"/>
        <v>M</v>
      </c>
      <c r="BH17" s="151" t="str">
        <f t="shared" si="100"/>
        <v>J</v>
      </c>
      <c r="BI17" s="151" t="str">
        <f t="shared" si="100"/>
        <v>V</v>
      </c>
      <c r="BJ17" s="151" t="str">
        <f t="shared" si="100"/>
        <v>S</v>
      </c>
      <c r="BK17" s="151" t="str">
        <f t="shared" si="100"/>
        <v>D</v>
      </c>
      <c r="BL17" s="151" t="str">
        <f t="shared" si="100"/>
        <v>L</v>
      </c>
      <c r="BM17" s="151" t="str">
        <f t="shared" si="100"/>
        <v>M</v>
      </c>
      <c r="BN17" s="151" t="str">
        <f t="shared" si="100"/>
        <v>M</v>
      </c>
      <c r="BO17" s="151" t="str">
        <f t="shared" si="100"/>
        <v>J</v>
      </c>
      <c r="BP17" s="151" t="str">
        <f t="shared" si="100"/>
        <v>V</v>
      </c>
      <c r="BQ17" s="151" t="str">
        <f t="shared" si="100"/>
        <v>S</v>
      </c>
      <c r="BR17" s="151" t="str">
        <f t="shared" si="100"/>
        <v>D</v>
      </c>
      <c r="BS17" s="151" t="str">
        <f t="shared" si="100"/>
        <v>L</v>
      </c>
      <c r="BT17" s="151" t="str">
        <f t="shared" si="100"/>
        <v>M</v>
      </c>
      <c r="BU17" s="151" t="str">
        <f t="shared" si="100"/>
        <v>M</v>
      </c>
      <c r="BV17" s="151" t="str">
        <f t="shared" si="100"/>
        <v>J</v>
      </c>
      <c r="BW17" s="151" t="str">
        <f t="shared" si="100"/>
        <v>V</v>
      </c>
      <c r="BX17" s="151" t="str">
        <f t="shared" si="100"/>
        <v>S</v>
      </c>
      <c r="BY17" s="151" t="str">
        <f t="shared" si="100"/>
        <v>D</v>
      </c>
      <c r="BZ17" s="151" t="str">
        <f t="shared" si="100"/>
        <v>L</v>
      </c>
      <c r="CA17" s="151" t="str">
        <f t="shared" si="100"/>
        <v>M</v>
      </c>
      <c r="CB17" s="151" t="str">
        <f t="shared" si="100"/>
        <v>M</v>
      </c>
      <c r="CC17" s="151" t="str">
        <f t="shared" si="100"/>
        <v>J</v>
      </c>
      <c r="CD17" s="151" t="str">
        <f t="shared" si="100"/>
        <v>V</v>
      </c>
      <c r="CE17" s="151" t="str">
        <f t="shared" si="100"/>
        <v>S</v>
      </c>
      <c r="CF17" s="151" t="str">
        <f t="shared" si="100"/>
        <v>D</v>
      </c>
      <c r="CG17" s="151" t="str">
        <f t="shared" si="100"/>
        <v>L</v>
      </c>
      <c r="CH17" s="151" t="str">
        <f t="shared" si="100"/>
        <v>M</v>
      </c>
      <c r="CI17" s="151" t="str">
        <f t="shared" si="100"/>
        <v>M</v>
      </c>
      <c r="CJ17" s="151" t="str">
        <f t="shared" si="100"/>
        <v>J</v>
      </c>
      <c r="CK17" s="151" t="str">
        <f t="shared" si="100"/>
        <v>V</v>
      </c>
      <c r="CL17" s="151" t="str">
        <f t="shared" si="100"/>
        <v>S</v>
      </c>
      <c r="CM17" s="151" t="str">
        <f t="shared" si="100"/>
        <v>D</v>
      </c>
      <c r="CN17" s="151" t="str">
        <f t="shared" si="100"/>
        <v>L</v>
      </c>
      <c r="CO17" s="151" t="str">
        <f t="shared" si="100"/>
        <v>M</v>
      </c>
      <c r="CP17" s="151" t="str">
        <f t="shared" si="100"/>
        <v>M</v>
      </c>
      <c r="CQ17" s="151" t="str">
        <f t="shared" si="100"/>
        <v>J</v>
      </c>
      <c r="CR17" s="151" t="str">
        <f t="shared" si="100"/>
        <v>V</v>
      </c>
      <c r="CS17" s="151" t="str">
        <f t="shared" si="100"/>
        <v>S</v>
      </c>
      <c r="CT17" s="151" t="str">
        <f t="shared" si="100"/>
        <v>D</v>
      </c>
      <c r="CU17" s="151" t="str">
        <f t="shared" si="100"/>
        <v>L</v>
      </c>
      <c r="CV17" s="151" t="str">
        <f t="shared" ref="CV17:FG17" si="101">IF(TEXT(CV9,"ddd")="ddd",UPPER(LEFT(TEXT(CV9,"jjj"),1)),UPPER(LEFT(TEXT(CV9,"ddd"),1)))</f>
        <v>M</v>
      </c>
      <c r="CW17" s="151" t="str">
        <f t="shared" si="101"/>
        <v>M</v>
      </c>
      <c r="CX17" s="151" t="str">
        <f t="shared" si="101"/>
        <v>J</v>
      </c>
      <c r="CY17" s="151" t="str">
        <f t="shared" si="101"/>
        <v>V</v>
      </c>
      <c r="CZ17" s="151" t="str">
        <f t="shared" si="101"/>
        <v>S</v>
      </c>
      <c r="DA17" s="151" t="str">
        <f t="shared" si="101"/>
        <v>D</v>
      </c>
      <c r="DB17" s="151" t="str">
        <f t="shared" si="101"/>
        <v>L</v>
      </c>
      <c r="DC17" s="151" t="str">
        <f t="shared" si="101"/>
        <v>M</v>
      </c>
      <c r="DD17" s="151" t="str">
        <f t="shared" si="101"/>
        <v>M</v>
      </c>
      <c r="DE17" s="151" t="str">
        <f t="shared" si="101"/>
        <v>J</v>
      </c>
      <c r="DF17" s="151" t="str">
        <f t="shared" si="101"/>
        <v>V</v>
      </c>
      <c r="DG17" s="151" t="str">
        <f t="shared" si="101"/>
        <v>S</v>
      </c>
      <c r="DH17" s="151" t="str">
        <f t="shared" si="101"/>
        <v>D</v>
      </c>
      <c r="DI17" s="151" t="str">
        <f t="shared" si="101"/>
        <v>L</v>
      </c>
      <c r="DJ17" s="151" t="str">
        <f t="shared" si="101"/>
        <v>M</v>
      </c>
      <c r="DK17" s="151" t="str">
        <f t="shared" si="101"/>
        <v>M</v>
      </c>
      <c r="DL17" s="151" t="str">
        <f t="shared" si="101"/>
        <v>J</v>
      </c>
      <c r="DM17" s="151" t="str">
        <f t="shared" si="101"/>
        <v>V</v>
      </c>
      <c r="DN17" s="151" t="str">
        <f t="shared" si="101"/>
        <v>S</v>
      </c>
      <c r="DO17" s="151" t="str">
        <f t="shared" si="101"/>
        <v>D</v>
      </c>
      <c r="DP17" s="151" t="str">
        <f t="shared" si="101"/>
        <v>L</v>
      </c>
      <c r="DQ17" s="151" t="str">
        <f t="shared" si="101"/>
        <v>M</v>
      </c>
      <c r="DR17" s="151" t="str">
        <f t="shared" si="101"/>
        <v>M</v>
      </c>
      <c r="DS17" s="151" t="str">
        <f t="shared" si="101"/>
        <v>J</v>
      </c>
      <c r="DT17" s="151" t="str">
        <f t="shared" si="101"/>
        <v>V</v>
      </c>
      <c r="DU17" s="151" t="str">
        <f t="shared" si="101"/>
        <v>S</v>
      </c>
      <c r="DV17" s="151" t="str">
        <f t="shared" si="101"/>
        <v>D</v>
      </c>
      <c r="DW17" s="151" t="str">
        <f t="shared" si="101"/>
        <v>L</v>
      </c>
      <c r="DX17" s="151" t="str">
        <f t="shared" si="101"/>
        <v>M</v>
      </c>
      <c r="DY17" s="151" t="str">
        <f t="shared" si="101"/>
        <v>M</v>
      </c>
      <c r="DZ17" s="151" t="str">
        <f t="shared" si="101"/>
        <v>J</v>
      </c>
      <c r="EA17" s="151" t="str">
        <f t="shared" si="101"/>
        <v>V</v>
      </c>
      <c r="EB17" s="151" t="str">
        <f t="shared" si="101"/>
        <v>S</v>
      </c>
      <c r="EC17" s="151" t="str">
        <f t="shared" si="101"/>
        <v>D</v>
      </c>
      <c r="ED17" s="151" t="str">
        <f t="shared" si="101"/>
        <v>L</v>
      </c>
      <c r="EE17" s="151" t="str">
        <f t="shared" si="101"/>
        <v>M</v>
      </c>
      <c r="EF17" s="151" t="str">
        <f t="shared" si="101"/>
        <v>M</v>
      </c>
      <c r="EG17" s="151" t="str">
        <f t="shared" si="101"/>
        <v>J</v>
      </c>
      <c r="EH17" s="151" t="str">
        <f t="shared" si="101"/>
        <v>V</v>
      </c>
      <c r="EI17" s="151" t="str">
        <f t="shared" si="101"/>
        <v>S</v>
      </c>
      <c r="EJ17" s="151" t="str">
        <f t="shared" si="101"/>
        <v>D</v>
      </c>
      <c r="EK17" s="151" t="str">
        <f t="shared" si="101"/>
        <v>L</v>
      </c>
      <c r="EL17" s="151" t="str">
        <f t="shared" si="101"/>
        <v>M</v>
      </c>
      <c r="EM17" s="151" t="str">
        <f t="shared" si="101"/>
        <v>M</v>
      </c>
      <c r="EN17" s="151" t="str">
        <f t="shared" si="101"/>
        <v>J</v>
      </c>
      <c r="EO17" s="151" t="str">
        <f t="shared" si="101"/>
        <v>V</v>
      </c>
      <c r="EP17" s="151" t="str">
        <f t="shared" si="101"/>
        <v>S</v>
      </c>
      <c r="EQ17" s="151" t="str">
        <f t="shared" si="101"/>
        <v>D</v>
      </c>
      <c r="ER17" s="151" t="str">
        <f t="shared" si="101"/>
        <v>L</v>
      </c>
      <c r="ES17" s="151" t="str">
        <f t="shared" si="101"/>
        <v>M</v>
      </c>
      <c r="ET17" s="151" t="str">
        <f t="shared" si="101"/>
        <v>M</v>
      </c>
      <c r="EU17" s="151" t="str">
        <f t="shared" si="101"/>
        <v>J</v>
      </c>
      <c r="EV17" s="151" t="str">
        <f t="shared" si="101"/>
        <v>V</v>
      </c>
      <c r="EW17" s="151" t="str">
        <f t="shared" si="101"/>
        <v>S</v>
      </c>
      <c r="EX17" s="151" t="str">
        <f t="shared" si="101"/>
        <v>D</v>
      </c>
      <c r="EY17" s="151" t="str">
        <f t="shared" si="101"/>
        <v>L</v>
      </c>
      <c r="EZ17" s="151" t="str">
        <f t="shared" si="101"/>
        <v>M</v>
      </c>
      <c r="FA17" s="151" t="str">
        <f t="shared" si="101"/>
        <v>M</v>
      </c>
      <c r="FB17" s="151" t="str">
        <f t="shared" si="101"/>
        <v>J</v>
      </c>
      <c r="FC17" s="151" t="str">
        <f t="shared" si="101"/>
        <v>V</v>
      </c>
      <c r="FD17" s="151" t="str">
        <f t="shared" si="101"/>
        <v>S</v>
      </c>
      <c r="FE17" s="151" t="str">
        <f t="shared" si="101"/>
        <v>D</v>
      </c>
      <c r="FF17" s="151" t="str">
        <f t="shared" si="101"/>
        <v>L</v>
      </c>
      <c r="FG17" s="151" t="str">
        <f t="shared" si="101"/>
        <v>M</v>
      </c>
      <c r="FH17" s="151" t="str">
        <f t="shared" ref="FH17:HS17" si="102">IF(TEXT(FH9,"ddd")="ddd",UPPER(LEFT(TEXT(FH9,"jjj"),1)),UPPER(LEFT(TEXT(FH9,"ddd"),1)))</f>
        <v>M</v>
      </c>
      <c r="FI17" s="151" t="str">
        <f t="shared" si="102"/>
        <v>J</v>
      </c>
      <c r="FJ17" s="151" t="str">
        <f t="shared" si="102"/>
        <v>V</v>
      </c>
      <c r="FK17" s="151" t="str">
        <f t="shared" si="102"/>
        <v>S</v>
      </c>
      <c r="FL17" s="151" t="str">
        <f t="shared" si="102"/>
        <v>D</v>
      </c>
      <c r="FM17" s="151" t="str">
        <f t="shared" si="102"/>
        <v>L</v>
      </c>
      <c r="FN17" s="151" t="str">
        <f t="shared" si="102"/>
        <v>M</v>
      </c>
      <c r="FO17" s="151" t="str">
        <f t="shared" si="102"/>
        <v>M</v>
      </c>
      <c r="FP17" s="151" t="str">
        <f t="shared" si="102"/>
        <v>J</v>
      </c>
      <c r="FQ17" s="151" t="str">
        <f t="shared" si="102"/>
        <v>V</v>
      </c>
      <c r="FR17" s="151" t="str">
        <f t="shared" si="102"/>
        <v>S</v>
      </c>
      <c r="FS17" s="151" t="str">
        <f t="shared" si="102"/>
        <v>D</v>
      </c>
      <c r="FT17" s="151" t="str">
        <f t="shared" si="102"/>
        <v>L</v>
      </c>
      <c r="FU17" s="151" t="str">
        <f t="shared" si="102"/>
        <v>M</v>
      </c>
      <c r="FV17" s="151" t="str">
        <f t="shared" si="102"/>
        <v>M</v>
      </c>
      <c r="FW17" s="151" t="str">
        <f t="shared" si="102"/>
        <v>J</v>
      </c>
      <c r="FX17" s="151" t="str">
        <f t="shared" si="102"/>
        <v>V</v>
      </c>
      <c r="FY17" s="151" t="str">
        <f t="shared" si="102"/>
        <v>S</v>
      </c>
      <c r="FZ17" s="151" t="str">
        <f t="shared" si="102"/>
        <v>D</v>
      </c>
      <c r="GA17" s="151" t="str">
        <f t="shared" si="102"/>
        <v>L</v>
      </c>
      <c r="GB17" s="151" t="str">
        <f t="shared" si="102"/>
        <v>M</v>
      </c>
      <c r="GC17" s="151" t="str">
        <f t="shared" si="102"/>
        <v>M</v>
      </c>
      <c r="GD17" s="151" t="str">
        <f t="shared" si="102"/>
        <v>J</v>
      </c>
      <c r="GE17" s="151" t="str">
        <f t="shared" si="102"/>
        <v>V</v>
      </c>
      <c r="GF17" s="151" t="str">
        <f t="shared" si="102"/>
        <v>S</v>
      </c>
      <c r="GG17" s="151" t="str">
        <f t="shared" si="102"/>
        <v>D</v>
      </c>
      <c r="GH17" s="151" t="str">
        <f t="shared" si="102"/>
        <v>L</v>
      </c>
      <c r="GI17" s="151" t="str">
        <f t="shared" si="102"/>
        <v>M</v>
      </c>
      <c r="GJ17" s="151" t="str">
        <f t="shared" si="102"/>
        <v>M</v>
      </c>
      <c r="GK17" s="151" t="str">
        <f t="shared" si="102"/>
        <v>J</v>
      </c>
      <c r="GL17" s="151" t="str">
        <f t="shared" si="102"/>
        <v>V</v>
      </c>
      <c r="GM17" s="151" t="str">
        <f t="shared" si="102"/>
        <v>S</v>
      </c>
      <c r="GN17" s="151" t="str">
        <f t="shared" si="102"/>
        <v>D</v>
      </c>
      <c r="GO17" s="151" t="str">
        <f t="shared" si="102"/>
        <v>L</v>
      </c>
      <c r="GP17" s="151" t="str">
        <f t="shared" si="102"/>
        <v>M</v>
      </c>
      <c r="GQ17" s="151" t="str">
        <f t="shared" si="102"/>
        <v>M</v>
      </c>
      <c r="GR17" s="151" t="str">
        <f t="shared" si="102"/>
        <v>J</v>
      </c>
      <c r="GS17" s="151" t="str">
        <f t="shared" si="102"/>
        <v>V</v>
      </c>
      <c r="GT17" s="151" t="str">
        <f t="shared" si="102"/>
        <v>S</v>
      </c>
      <c r="GU17" s="151" t="str">
        <f t="shared" si="102"/>
        <v>D</v>
      </c>
      <c r="GV17" s="151" t="str">
        <f t="shared" si="102"/>
        <v>L</v>
      </c>
      <c r="GW17" s="151" t="str">
        <f t="shared" si="102"/>
        <v>M</v>
      </c>
      <c r="GX17" s="151" t="str">
        <f t="shared" si="102"/>
        <v>M</v>
      </c>
      <c r="GY17" s="151" t="str">
        <f t="shared" si="102"/>
        <v>J</v>
      </c>
      <c r="GZ17" s="151" t="str">
        <f t="shared" si="102"/>
        <v>V</v>
      </c>
      <c r="HA17" s="151" t="str">
        <f t="shared" si="102"/>
        <v>S</v>
      </c>
      <c r="HB17" s="151" t="str">
        <f t="shared" si="102"/>
        <v>D</v>
      </c>
      <c r="HC17" s="151" t="str">
        <f t="shared" si="102"/>
        <v>L</v>
      </c>
      <c r="HD17" s="151" t="str">
        <f t="shared" si="102"/>
        <v>M</v>
      </c>
      <c r="HE17" s="151" t="str">
        <f t="shared" si="102"/>
        <v>M</v>
      </c>
      <c r="HF17" s="151" t="str">
        <f t="shared" si="102"/>
        <v>J</v>
      </c>
      <c r="HG17" s="151" t="str">
        <f t="shared" si="102"/>
        <v>V</v>
      </c>
      <c r="HH17" s="151" t="str">
        <f t="shared" si="102"/>
        <v>S</v>
      </c>
      <c r="HI17" s="151" t="str">
        <f t="shared" si="102"/>
        <v>D</v>
      </c>
      <c r="HJ17" s="151" t="str">
        <f t="shared" si="102"/>
        <v>L</v>
      </c>
      <c r="HK17" s="151" t="str">
        <f t="shared" si="102"/>
        <v>M</v>
      </c>
      <c r="HL17" s="151" t="str">
        <f t="shared" si="102"/>
        <v>M</v>
      </c>
      <c r="HM17" s="151" t="str">
        <f t="shared" si="102"/>
        <v>J</v>
      </c>
      <c r="HN17" s="151" t="str">
        <f t="shared" si="102"/>
        <v>V</v>
      </c>
      <c r="HO17" s="151" t="str">
        <f t="shared" si="102"/>
        <v>S</v>
      </c>
      <c r="HP17" s="151" t="str">
        <f t="shared" si="102"/>
        <v>D</v>
      </c>
      <c r="HQ17" s="151" t="str">
        <f t="shared" si="102"/>
        <v>L</v>
      </c>
      <c r="HR17" s="151" t="str">
        <f t="shared" si="102"/>
        <v>M</v>
      </c>
      <c r="HS17" s="151" t="str">
        <f t="shared" si="102"/>
        <v>M</v>
      </c>
      <c r="HT17" s="151" t="str">
        <f t="shared" ref="HT17:KE17" si="103">IF(TEXT(HT9,"ddd")="ddd",UPPER(LEFT(TEXT(HT9,"jjj"),1)),UPPER(LEFT(TEXT(HT9,"ddd"),1)))</f>
        <v>J</v>
      </c>
      <c r="HU17" s="151" t="str">
        <f t="shared" si="103"/>
        <v>V</v>
      </c>
      <c r="HV17" s="151" t="str">
        <f t="shared" si="103"/>
        <v>S</v>
      </c>
      <c r="HW17" s="151" t="str">
        <f t="shared" si="103"/>
        <v>D</v>
      </c>
      <c r="HX17" s="151" t="str">
        <f t="shared" si="103"/>
        <v>L</v>
      </c>
      <c r="HY17" s="151" t="str">
        <f t="shared" si="103"/>
        <v>M</v>
      </c>
      <c r="HZ17" s="151" t="str">
        <f t="shared" si="103"/>
        <v>M</v>
      </c>
      <c r="IA17" s="151" t="str">
        <f t="shared" si="103"/>
        <v>J</v>
      </c>
      <c r="IB17" s="151" t="str">
        <f t="shared" si="103"/>
        <v>V</v>
      </c>
      <c r="IC17" s="151" t="str">
        <f t="shared" si="103"/>
        <v>S</v>
      </c>
      <c r="ID17" s="151" t="str">
        <f t="shared" si="103"/>
        <v>D</v>
      </c>
      <c r="IE17" s="151" t="str">
        <f t="shared" si="103"/>
        <v>L</v>
      </c>
      <c r="IF17" s="151" t="str">
        <f t="shared" si="103"/>
        <v>M</v>
      </c>
      <c r="IG17" s="151" t="str">
        <f t="shared" si="103"/>
        <v>M</v>
      </c>
      <c r="IH17" s="151" t="str">
        <f t="shared" si="103"/>
        <v>J</v>
      </c>
      <c r="II17" s="151" t="str">
        <f t="shared" si="103"/>
        <v>V</v>
      </c>
      <c r="IJ17" s="151" t="str">
        <f t="shared" si="103"/>
        <v>S</v>
      </c>
      <c r="IK17" s="151" t="str">
        <f t="shared" si="103"/>
        <v>D</v>
      </c>
      <c r="IL17" s="151" t="str">
        <f t="shared" si="103"/>
        <v>L</v>
      </c>
      <c r="IM17" s="151" t="str">
        <f t="shared" si="103"/>
        <v>M</v>
      </c>
      <c r="IN17" s="151" t="str">
        <f t="shared" si="103"/>
        <v>M</v>
      </c>
      <c r="IO17" s="151" t="str">
        <f t="shared" si="103"/>
        <v>J</v>
      </c>
      <c r="IP17" s="151" t="str">
        <f t="shared" si="103"/>
        <v>V</v>
      </c>
      <c r="IQ17" s="151" t="str">
        <f t="shared" si="103"/>
        <v>S</v>
      </c>
      <c r="IR17" s="151" t="str">
        <f t="shared" si="103"/>
        <v>D</v>
      </c>
      <c r="IS17" s="151" t="str">
        <f t="shared" si="103"/>
        <v>L</v>
      </c>
      <c r="IT17" s="151" t="str">
        <f t="shared" si="103"/>
        <v>M</v>
      </c>
      <c r="IU17" s="151" t="str">
        <f t="shared" si="103"/>
        <v>M</v>
      </c>
      <c r="IV17" s="151" t="str">
        <f t="shared" si="103"/>
        <v>J</v>
      </c>
      <c r="IW17" s="151" t="str">
        <f t="shared" si="103"/>
        <v>V</v>
      </c>
      <c r="IX17" s="151" t="str">
        <f t="shared" si="103"/>
        <v>S</v>
      </c>
      <c r="IY17" s="151" t="str">
        <f t="shared" si="103"/>
        <v>D</v>
      </c>
      <c r="IZ17" s="151" t="str">
        <f t="shared" si="103"/>
        <v>L</v>
      </c>
      <c r="JA17" s="151" t="str">
        <f t="shared" si="103"/>
        <v>M</v>
      </c>
      <c r="JB17" s="151" t="str">
        <f t="shared" si="103"/>
        <v>M</v>
      </c>
      <c r="JC17" s="151" t="str">
        <f t="shared" si="103"/>
        <v>J</v>
      </c>
      <c r="JD17" s="151" t="str">
        <f t="shared" si="103"/>
        <v>V</v>
      </c>
      <c r="JE17" s="151" t="str">
        <f t="shared" si="103"/>
        <v>S</v>
      </c>
      <c r="JF17" s="151" t="str">
        <f t="shared" si="103"/>
        <v>D</v>
      </c>
      <c r="JG17" s="151" t="str">
        <f t="shared" si="103"/>
        <v>L</v>
      </c>
      <c r="JH17" s="151" t="str">
        <f t="shared" si="103"/>
        <v>M</v>
      </c>
      <c r="JI17" s="151" t="str">
        <f t="shared" si="103"/>
        <v>M</v>
      </c>
      <c r="JJ17" s="151" t="str">
        <f t="shared" si="103"/>
        <v>J</v>
      </c>
      <c r="JK17" s="151" t="str">
        <f t="shared" si="103"/>
        <v>V</v>
      </c>
      <c r="JL17" s="151" t="str">
        <f t="shared" si="103"/>
        <v>S</v>
      </c>
      <c r="JM17" s="151" t="str">
        <f t="shared" si="103"/>
        <v>D</v>
      </c>
      <c r="JN17" s="151" t="str">
        <f t="shared" si="103"/>
        <v>L</v>
      </c>
      <c r="JO17" s="151" t="str">
        <f t="shared" si="103"/>
        <v>M</v>
      </c>
      <c r="JP17" s="151" t="str">
        <f t="shared" si="103"/>
        <v>M</v>
      </c>
      <c r="JQ17" s="151" t="str">
        <f t="shared" si="103"/>
        <v>J</v>
      </c>
      <c r="JR17" s="151" t="str">
        <f t="shared" si="103"/>
        <v>V</v>
      </c>
      <c r="JS17" s="151" t="str">
        <f t="shared" si="103"/>
        <v>S</v>
      </c>
      <c r="JT17" s="151" t="str">
        <f t="shared" si="103"/>
        <v>D</v>
      </c>
      <c r="JU17" s="151" t="str">
        <f t="shared" si="103"/>
        <v>L</v>
      </c>
      <c r="JV17" s="151" t="str">
        <f t="shared" si="103"/>
        <v>M</v>
      </c>
      <c r="JW17" s="151" t="str">
        <f t="shared" si="103"/>
        <v>M</v>
      </c>
      <c r="JX17" s="151" t="str">
        <f t="shared" si="103"/>
        <v>J</v>
      </c>
      <c r="JY17" s="151" t="str">
        <f t="shared" si="103"/>
        <v>V</v>
      </c>
      <c r="JZ17" s="151" t="str">
        <f t="shared" si="103"/>
        <v>S</v>
      </c>
      <c r="KA17" s="151" t="str">
        <f t="shared" si="103"/>
        <v>D</v>
      </c>
      <c r="KB17" s="151" t="str">
        <f t="shared" si="103"/>
        <v>L</v>
      </c>
      <c r="KC17" s="151" t="str">
        <f t="shared" si="103"/>
        <v>M</v>
      </c>
      <c r="KD17" s="151" t="str">
        <f t="shared" si="103"/>
        <v>M</v>
      </c>
      <c r="KE17" s="151" t="str">
        <f t="shared" si="103"/>
        <v>J</v>
      </c>
      <c r="KF17" s="151" t="str">
        <f t="shared" ref="KF17:MQ17" si="104">IF(TEXT(KF9,"ddd")="ddd",UPPER(LEFT(TEXT(KF9,"jjj"),1)),UPPER(LEFT(TEXT(KF9,"ddd"),1)))</f>
        <v>V</v>
      </c>
      <c r="KG17" s="151" t="str">
        <f t="shared" si="104"/>
        <v>S</v>
      </c>
      <c r="KH17" s="151" t="str">
        <f t="shared" si="104"/>
        <v>D</v>
      </c>
      <c r="KI17" s="151" t="str">
        <f t="shared" si="104"/>
        <v>L</v>
      </c>
      <c r="KJ17" s="151" t="str">
        <f t="shared" si="104"/>
        <v>M</v>
      </c>
      <c r="KK17" s="151" t="str">
        <f t="shared" si="104"/>
        <v>M</v>
      </c>
      <c r="KL17" s="151" t="str">
        <f t="shared" si="104"/>
        <v>J</v>
      </c>
      <c r="KM17" s="151" t="str">
        <f t="shared" si="104"/>
        <v>V</v>
      </c>
      <c r="KN17" s="151" t="str">
        <f t="shared" si="104"/>
        <v>S</v>
      </c>
      <c r="KO17" s="151" t="str">
        <f t="shared" si="104"/>
        <v>D</v>
      </c>
      <c r="KP17" s="151" t="str">
        <f t="shared" si="104"/>
        <v>L</v>
      </c>
      <c r="KQ17" s="151" t="str">
        <f t="shared" si="104"/>
        <v>M</v>
      </c>
      <c r="KR17" s="151" t="str">
        <f t="shared" si="104"/>
        <v>M</v>
      </c>
      <c r="KS17" s="151" t="str">
        <f t="shared" si="104"/>
        <v>J</v>
      </c>
      <c r="KT17" s="151" t="str">
        <f t="shared" si="104"/>
        <v>V</v>
      </c>
      <c r="KU17" s="151" t="str">
        <f t="shared" si="104"/>
        <v>S</v>
      </c>
      <c r="KV17" s="151" t="str">
        <f t="shared" si="104"/>
        <v>D</v>
      </c>
      <c r="KW17" s="151" t="str">
        <f t="shared" si="104"/>
        <v>L</v>
      </c>
      <c r="KX17" s="151" t="str">
        <f t="shared" si="104"/>
        <v>M</v>
      </c>
      <c r="KY17" s="151" t="str">
        <f t="shared" si="104"/>
        <v>M</v>
      </c>
      <c r="KZ17" s="151" t="str">
        <f t="shared" si="104"/>
        <v>J</v>
      </c>
      <c r="LA17" s="151" t="str">
        <f t="shared" si="104"/>
        <v>V</v>
      </c>
      <c r="LB17" s="151" t="str">
        <f t="shared" si="104"/>
        <v>S</v>
      </c>
      <c r="LC17" s="151" t="str">
        <f t="shared" si="104"/>
        <v>D</v>
      </c>
      <c r="LD17" s="151" t="str">
        <f t="shared" si="104"/>
        <v>L</v>
      </c>
      <c r="LE17" s="151" t="str">
        <f t="shared" si="104"/>
        <v>M</v>
      </c>
      <c r="LF17" s="151" t="str">
        <f t="shared" si="104"/>
        <v>M</v>
      </c>
      <c r="LG17" s="151" t="str">
        <f t="shared" si="104"/>
        <v>J</v>
      </c>
      <c r="LH17" s="151" t="str">
        <f t="shared" si="104"/>
        <v>V</v>
      </c>
      <c r="LI17" s="151" t="str">
        <f t="shared" si="104"/>
        <v>S</v>
      </c>
      <c r="LJ17" s="151" t="str">
        <f t="shared" si="104"/>
        <v>D</v>
      </c>
      <c r="LK17" s="151" t="str">
        <f t="shared" si="104"/>
        <v>L</v>
      </c>
      <c r="LL17" s="151" t="str">
        <f t="shared" si="104"/>
        <v>M</v>
      </c>
      <c r="LM17" s="151" t="str">
        <f t="shared" si="104"/>
        <v>M</v>
      </c>
      <c r="LN17" s="151" t="str">
        <f t="shared" si="104"/>
        <v>J</v>
      </c>
      <c r="LO17" s="151" t="str">
        <f t="shared" si="104"/>
        <v>V</v>
      </c>
      <c r="LP17" s="151" t="str">
        <f t="shared" si="104"/>
        <v>S</v>
      </c>
      <c r="LQ17" s="151" t="str">
        <f t="shared" si="104"/>
        <v>D</v>
      </c>
      <c r="LR17" s="151" t="str">
        <f t="shared" si="104"/>
        <v>L</v>
      </c>
      <c r="LS17" s="151" t="str">
        <f t="shared" si="104"/>
        <v>M</v>
      </c>
      <c r="LT17" s="151" t="str">
        <f t="shared" si="104"/>
        <v>M</v>
      </c>
      <c r="LU17" s="151" t="str">
        <f t="shared" si="104"/>
        <v>J</v>
      </c>
      <c r="LV17" s="151" t="str">
        <f t="shared" si="104"/>
        <v>V</v>
      </c>
      <c r="LW17" s="151" t="str">
        <f t="shared" si="104"/>
        <v>S</v>
      </c>
      <c r="LX17" s="151" t="str">
        <f t="shared" si="104"/>
        <v>D</v>
      </c>
      <c r="LY17" s="151" t="str">
        <f t="shared" si="104"/>
        <v>L</v>
      </c>
      <c r="LZ17" s="151" t="str">
        <f t="shared" si="104"/>
        <v>M</v>
      </c>
      <c r="MA17" s="151" t="str">
        <f t="shared" si="104"/>
        <v>M</v>
      </c>
      <c r="MB17" s="151" t="str">
        <f t="shared" si="104"/>
        <v>J</v>
      </c>
      <c r="MC17" s="151" t="str">
        <f t="shared" si="104"/>
        <v>V</v>
      </c>
      <c r="MD17" s="151" t="str">
        <f t="shared" si="104"/>
        <v>S</v>
      </c>
      <c r="ME17" s="151" t="str">
        <f t="shared" si="104"/>
        <v>D</v>
      </c>
      <c r="MF17" s="151" t="str">
        <f t="shared" si="104"/>
        <v>L</v>
      </c>
      <c r="MG17" s="151" t="str">
        <f t="shared" si="104"/>
        <v>M</v>
      </c>
      <c r="MH17" s="151" t="str">
        <f t="shared" si="104"/>
        <v>M</v>
      </c>
      <c r="MI17" s="151" t="str">
        <f t="shared" si="104"/>
        <v>J</v>
      </c>
      <c r="MJ17" s="151" t="str">
        <f t="shared" si="104"/>
        <v>V</v>
      </c>
      <c r="MK17" s="151" t="str">
        <f t="shared" si="104"/>
        <v>S</v>
      </c>
      <c r="ML17" s="151" t="str">
        <f t="shared" si="104"/>
        <v>D</v>
      </c>
      <c r="MM17" s="151" t="str">
        <f t="shared" si="104"/>
        <v>L</v>
      </c>
      <c r="MN17" s="151" t="str">
        <f t="shared" si="104"/>
        <v>M</v>
      </c>
      <c r="MO17" s="151" t="str">
        <f t="shared" si="104"/>
        <v>M</v>
      </c>
      <c r="MP17" s="151" t="str">
        <f t="shared" si="104"/>
        <v>J</v>
      </c>
      <c r="MQ17" s="151" t="str">
        <f t="shared" si="104"/>
        <v>V</v>
      </c>
      <c r="MR17" s="151" t="str">
        <f t="shared" ref="MR17:PC17" si="105">IF(TEXT(MR9,"ddd")="ddd",UPPER(LEFT(TEXT(MR9,"jjj"),1)),UPPER(LEFT(TEXT(MR9,"ddd"),1)))</f>
        <v>S</v>
      </c>
      <c r="MS17" s="151" t="str">
        <f t="shared" si="105"/>
        <v>D</v>
      </c>
      <c r="MT17" s="151" t="str">
        <f t="shared" si="105"/>
        <v>L</v>
      </c>
      <c r="MU17" s="151" t="str">
        <f t="shared" si="105"/>
        <v>M</v>
      </c>
      <c r="MV17" s="151" t="str">
        <f t="shared" si="105"/>
        <v>M</v>
      </c>
      <c r="MW17" s="151" t="str">
        <f t="shared" si="105"/>
        <v>J</v>
      </c>
      <c r="MX17" s="151" t="str">
        <f t="shared" si="105"/>
        <v>V</v>
      </c>
      <c r="MY17" s="151" t="str">
        <f t="shared" si="105"/>
        <v>S</v>
      </c>
      <c r="MZ17" s="151" t="str">
        <f t="shared" si="105"/>
        <v>D</v>
      </c>
      <c r="NA17" s="151" t="str">
        <f t="shared" si="105"/>
        <v>L</v>
      </c>
      <c r="NB17" s="151" t="str">
        <f t="shared" si="105"/>
        <v>M</v>
      </c>
      <c r="NC17" s="151" t="str">
        <f t="shared" si="105"/>
        <v>M</v>
      </c>
      <c r="ND17" s="151" t="str">
        <f t="shared" si="105"/>
        <v>J</v>
      </c>
      <c r="NE17" s="151" t="str">
        <f t="shared" si="105"/>
        <v>V</v>
      </c>
      <c r="NF17" s="151" t="str">
        <f t="shared" si="105"/>
        <v>S</v>
      </c>
      <c r="NG17" s="151" t="str">
        <f t="shared" si="105"/>
        <v>D</v>
      </c>
      <c r="NH17" s="151" t="str">
        <f t="shared" si="105"/>
        <v>L</v>
      </c>
      <c r="NI17" s="151" t="str">
        <f t="shared" si="105"/>
        <v>M</v>
      </c>
      <c r="NJ17" s="151" t="str">
        <f t="shared" si="105"/>
        <v>M</v>
      </c>
      <c r="NK17" s="151" t="str">
        <f t="shared" si="105"/>
        <v>J</v>
      </c>
      <c r="NL17" s="151" t="str">
        <f t="shared" si="105"/>
        <v>V</v>
      </c>
      <c r="NM17" s="151" t="str">
        <f t="shared" si="105"/>
        <v>S</v>
      </c>
      <c r="NN17" s="151" t="str">
        <f t="shared" si="105"/>
        <v>D</v>
      </c>
      <c r="NO17" s="151" t="str">
        <f t="shared" si="105"/>
        <v>L</v>
      </c>
      <c r="NP17" s="151" t="str">
        <f t="shared" si="105"/>
        <v>M</v>
      </c>
      <c r="NQ17" s="151" t="str">
        <f t="shared" si="105"/>
        <v>M</v>
      </c>
      <c r="NR17" s="151" t="str">
        <f t="shared" si="105"/>
        <v>J</v>
      </c>
      <c r="NS17" s="151" t="str">
        <f t="shared" si="105"/>
        <v>V</v>
      </c>
      <c r="NT17" s="151" t="str">
        <f t="shared" si="105"/>
        <v>S</v>
      </c>
      <c r="NU17" s="151" t="str">
        <f t="shared" si="105"/>
        <v>D</v>
      </c>
      <c r="NV17" s="151" t="str">
        <f t="shared" si="105"/>
        <v>L</v>
      </c>
      <c r="NW17" s="151" t="str">
        <f t="shared" si="105"/>
        <v>M</v>
      </c>
      <c r="NX17" s="151" t="str">
        <f t="shared" si="105"/>
        <v>M</v>
      </c>
      <c r="NY17" s="151" t="str">
        <f t="shared" si="105"/>
        <v>J</v>
      </c>
      <c r="NZ17" s="151" t="str">
        <f t="shared" si="105"/>
        <v>V</v>
      </c>
      <c r="OA17" s="151" t="str">
        <f t="shared" si="105"/>
        <v>S</v>
      </c>
      <c r="OB17" s="151" t="str">
        <f t="shared" si="105"/>
        <v>D</v>
      </c>
      <c r="OC17" s="151" t="str">
        <f t="shared" si="105"/>
        <v>L</v>
      </c>
      <c r="OD17" s="151" t="str">
        <f t="shared" si="105"/>
        <v>M</v>
      </c>
      <c r="OE17" s="151" t="str">
        <f t="shared" si="105"/>
        <v>M</v>
      </c>
      <c r="OF17" s="151" t="str">
        <f t="shared" si="105"/>
        <v>J</v>
      </c>
      <c r="OG17" s="151" t="str">
        <f t="shared" si="105"/>
        <v>V</v>
      </c>
      <c r="OH17" s="151" t="str">
        <f t="shared" si="105"/>
        <v>S</v>
      </c>
      <c r="OI17" s="151" t="str">
        <f t="shared" si="105"/>
        <v>D</v>
      </c>
      <c r="OJ17" s="151" t="str">
        <f t="shared" si="105"/>
        <v>L</v>
      </c>
      <c r="OK17" s="151" t="str">
        <f t="shared" si="105"/>
        <v>M</v>
      </c>
      <c r="OL17" s="151" t="str">
        <f t="shared" si="105"/>
        <v>M</v>
      </c>
      <c r="OM17" s="151" t="str">
        <f t="shared" si="105"/>
        <v>J</v>
      </c>
      <c r="ON17" s="151" t="str">
        <f t="shared" si="105"/>
        <v>V</v>
      </c>
      <c r="OO17" s="151" t="str">
        <f t="shared" si="105"/>
        <v>S</v>
      </c>
      <c r="OP17" s="151" t="str">
        <f t="shared" si="105"/>
        <v>D</v>
      </c>
      <c r="OQ17" s="151" t="str">
        <f t="shared" si="105"/>
        <v>L</v>
      </c>
      <c r="OR17" s="151" t="str">
        <f t="shared" si="105"/>
        <v>M</v>
      </c>
      <c r="OS17" s="151" t="str">
        <f t="shared" si="105"/>
        <v>M</v>
      </c>
      <c r="OT17" s="151" t="str">
        <f t="shared" si="105"/>
        <v>J</v>
      </c>
      <c r="OU17" s="151" t="str">
        <f t="shared" si="105"/>
        <v>V</v>
      </c>
      <c r="OV17" s="151" t="str">
        <f t="shared" si="105"/>
        <v>S</v>
      </c>
      <c r="OW17" s="151" t="str">
        <f t="shared" si="105"/>
        <v>D</v>
      </c>
      <c r="OX17" s="151" t="str">
        <f t="shared" si="105"/>
        <v>L</v>
      </c>
      <c r="OY17" s="151" t="str">
        <f t="shared" si="105"/>
        <v>M</v>
      </c>
      <c r="OZ17" s="151" t="str">
        <f t="shared" si="105"/>
        <v>M</v>
      </c>
      <c r="PA17" s="151" t="str">
        <f t="shared" si="105"/>
        <v>J</v>
      </c>
      <c r="PB17" s="151" t="str">
        <f t="shared" si="105"/>
        <v>V</v>
      </c>
      <c r="PC17" s="151" t="str">
        <f t="shared" si="105"/>
        <v>S</v>
      </c>
      <c r="PD17" s="151" t="str">
        <f t="shared" ref="PD17:RO17" si="106">IF(TEXT(PD9,"ddd")="ddd",UPPER(LEFT(TEXT(PD9,"jjj"),1)),UPPER(LEFT(TEXT(PD9,"ddd"),1)))</f>
        <v>D</v>
      </c>
      <c r="PE17" s="151" t="str">
        <f t="shared" si="106"/>
        <v>L</v>
      </c>
      <c r="PF17" s="151" t="str">
        <f t="shared" si="106"/>
        <v>M</v>
      </c>
      <c r="PG17" s="151" t="str">
        <f t="shared" si="106"/>
        <v>M</v>
      </c>
      <c r="PH17" s="151" t="str">
        <f t="shared" si="106"/>
        <v>J</v>
      </c>
      <c r="PI17" s="151" t="str">
        <f t="shared" si="106"/>
        <v>V</v>
      </c>
      <c r="PJ17" s="151" t="str">
        <f t="shared" si="106"/>
        <v>S</v>
      </c>
      <c r="PK17" s="151" t="str">
        <f t="shared" si="106"/>
        <v>D</v>
      </c>
      <c r="PL17" s="151" t="str">
        <f t="shared" si="106"/>
        <v>L</v>
      </c>
      <c r="PM17" s="151" t="str">
        <f t="shared" si="106"/>
        <v>M</v>
      </c>
      <c r="PN17" s="151" t="str">
        <f t="shared" si="106"/>
        <v>M</v>
      </c>
      <c r="PO17" s="151" t="str">
        <f t="shared" si="106"/>
        <v>J</v>
      </c>
      <c r="PP17" s="151" t="str">
        <f t="shared" si="106"/>
        <v>V</v>
      </c>
      <c r="PQ17" s="151" t="str">
        <f t="shared" si="106"/>
        <v>S</v>
      </c>
      <c r="PR17" s="151" t="str">
        <f t="shared" si="106"/>
        <v>D</v>
      </c>
      <c r="PS17" s="151" t="str">
        <f t="shared" si="106"/>
        <v>L</v>
      </c>
      <c r="PT17" s="151" t="str">
        <f t="shared" si="106"/>
        <v>M</v>
      </c>
      <c r="PU17" s="151" t="str">
        <f t="shared" si="106"/>
        <v>M</v>
      </c>
      <c r="PV17" s="151" t="str">
        <f t="shared" si="106"/>
        <v>J</v>
      </c>
      <c r="PW17" s="151" t="str">
        <f t="shared" si="106"/>
        <v>V</v>
      </c>
      <c r="PX17" s="151" t="str">
        <f t="shared" si="106"/>
        <v>S</v>
      </c>
      <c r="PY17" s="151" t="str">
        <f t="shared" si="106"/>
        <v>D</v>
      </c>
      <c r="PZ17" s="151" t="str">
        <f t="shared" si="106"/>
        <v>L</v>
      </c>
      <c r="QA17" s="151" t="str">
        <f t="shared" si="106"/>
        <v>M</v>
      </c>
      <c r="QB17" s="151" t="str">
        <f t="shared" si="106"/>
        <v>M</v>
      </c>
      <c r="QC17" s="151" t="str">
        <f t="shared" si="106"/>
        <v>J</v>
      </c>
      <c r="QD17" s="151" t="str">
        <f t="shared" si="106"/>
        <v>V</v>
      </c>
      <c r="QE17" s="151" t="str">
        <f t="shared" si="106"/>
        <v>S</v>
      </c>
      <c r="QF17" s="151" t="str">
        <f t="shared" si="106"/>
        <v>D</v>
      </c>
      <c r="QG17" s="151" t="str">
        <f t="shared" si="106"/>
        <v>L</v>
      </c>
      <c r="QH17" s="151" t="str">
        <f t="shared" si="106"/>
        <v>M</v>
      </c>
      <c r="QI17" s="151" t="str">
        <f t="shared" si="106"/>
        <v>M</v>
      </c>
      <c r="QJ17" s="151" t="str">
        <f t="shared" si="106"/>
        <v>J</v>
      </c>
      <c r="QK17" s="151" t="str">
        <f t="shared" si="106"/>
        <v>V</v>
      </c>
      <c r="QL17" s="151" t="str">
        <f t="shared" si="106"/>
        <v>S</v>
      </c>
      <c r="QM17" s="151" t="str">
        <f t="shared" si="106"/>
        <v>D</v>
      </c>
      <c r="QN17" s="151" t="str">
        <f t="shared" si="106"/>
        <v>L</v>
      </c>
      <c r="QO17" s="151" t="str">
        <f t="shared" si="106"/>
        <v>M</v>
      </c>
      <c r="QP17" s="151" t="str">
        <f t="shared" si="106"/>
        <v>M</v>
      </c>
      <c r="QQ17" s="151" t="str">
        <f t="shared" si="106"/>
        <v>J</v>
      </c>
      <c r="QR17" s="151" t="str">
        <f t="shared" si="106"/>
        <v>V</v>
      </c>
      <c r="QS17" s="151" t="str">
        <f t="shared" si="106"/>
        <v>S</v>
      </c>
      <c r="QT17" s="151" t="str">
        <f t="shared" si="106"/>
        <v>D</v>
      </c>
      <c r="QU17" s="151" t="str">
        <f t="shared" si="106"/>
        <v>L</v>
      </c>
      <c r="QV17" s="151" t="str">
        <f t="shared" si="106"/>
        <v>M</v>
      </c>
      <c r="QW17" s="151" t="str">
        <f t="shared" si="106"/>
        <v>M</v>
      </c>
      <c r="QX17" s="151" t="str">
        <f t="shared" si="106"/>
        <v>J</v>
      </c>
      <c r="QY17" s="151" t="str">
        <f t="shared" si="106"/>
        <v>V</v>
      </c>
      <c r="QZ17" s="151" t="str">
        <f t="shared" si="106"/>
        <v>S</v>
      </c>
      <c r="RA17" s="151" t="str">
        <f t="shared" si="106"/>
        <v>D</v>
      </c>
      <c r="RB17" s="151" t="str">
        <f t="shared" si="106"/>
        <v>L</v>
      </c>
      <c r="RC17" s="151" t="str">
        <f t="shared" si="106"/>
        <v>M</v>
      </c>
      <c r="RD17" s="151" t="str">
        <f t="shared" si="106"/>
        <v>M</v>
      </c>
      <c r="RE17" s="151" t="str">
        <f t="shared" si="106"/>
        <v>J</v>
      </c>
      <c r="RF17" s="151" t="str">
        <f t="shared" si="106"/>
        <v>V</v>
      </c>
      <c r="RG17" s="151" t="str">
        <f t="shared" si="106"/>
        <v>S</v>
      </c>
      <c r="RH17" s="151" t="str">
        <f t="shared" si="106"/>
        <v>D</v>
      </c>
      <c r="RI17" s="151" t="str">
        <f t="shared" si="106"/>
        <v>L</v>
      </c>
      <c r="RJ17" s="151" t="str">
        <f t="shared" si="106"/>
        <v>M</v>
      </c>
      <c r="RK17" s="151" t="str">
        <f t="shared" si="106"/>
        <v>M</v>
      </c>
      <c r="RL17" s="151" t="str">
        <f t="shared" si="106"/>
        <v>J</v>
      </c>
      <c r="RM17" s="151" t="str">
        <f t="shared" si="106"/>
        <v>V</v>
      </c>
      <c r="RN17" s="151" t="str">
        <f t="shared" si="106"/>
        <v>S</v>
      </c>
      <c r="RO17" s="151" t="str">
        <f t="shared" si="106"/>
        <v>D</v>
      </c>
      <c r="RP17" s="151" t="str">
        <f t="shared" ref="RP17:UA17" si="107">IF(TEXT(RP9,"ddd")="ddd",UPPER(LEFT(TEXT(RP9,"jjj"),1)),UPPER(LEFT(TEXT(RP9,"ddd"),1)))</f>
        <v>L</v>
      </c>
      <c r="RQ17" s="151" t="str">
        <f t="shared" si="107"/>
        <v>M</v>
      </c>
      <c r="RR17" s="151" t="str">
        <f t="shared" si="107"/>
        <v>M</v>
      </c>
      <c r="RS17" s="151" t="str">
        <f t="shared" si="107"/>
        <v>J</v>
      </c>
      <c r="RT17" s="151" t="str">
        <f t="shared" si="107"/>
        <v>V</v>
      </c>
      <c r="RU17" s="151" t="str">
        <f t="shared" si="107"/>
        <v>S</v>
      </c>
      <c r="RV17" s="151" t="str">
        <f t="shared" si="107"/>
        <v>D</v>
      </c>
      <c r="RW17" s="151" t="str">
        <f t="shared" si="107"/>
        <v>L</v>
      </c>
      <c r="RX17" s="151" t="str">
        <f t="shared" si="107"/>
        <v>M</v>
      </c>
      <c r="RY17" s="151" t="str">
        <f t="shared" si="107"/>
        <v>M</v>
      </c>
      <c r="RZ17" s="151" t="str">
        <f t="shared" si="107"/>
        <v>J</v>
      </c>
      <c r="SA17" s="151" t="str">
        <f t="shared" si="107"/>
        <v>V</v>
      </c>
      <c r="SB17" s="151" t="str">
        <f t="shared" si="107"/>
        <v>S</v>
      </c>
      <c r="SC17" s="151" t="str">
        <f t="shared" si="107"/>
        <v>D</v>
      </c>
      <c r="SD17" s="151" t="str">
        <f t="shared" si="107"/>
        <v>L</v>
      </c>
      <c r="SE17" s="151" t="str">
        <f t="shared" si="107"/>
        <v>M</v>
      </c>
      <c r="SF17" s="151" t="str">
        <f t="shared" si="107"/>
        <v>M</v>
      </c>
      <c r="SG17" s="151" t="str">
        <f t="shared" si="107"/>
        <v>J</v>
      </c>
      <c r="SH17" s="151" t="str">
        <f t="shared" si="107"/>
        <v>V</v>
      </c>
      <c r="SI17" s="151" t="str">
        <f t="shared" si="107"/>
        <v>S</v>
      </c>
      <c r="SJ17" s="151" t="str">
        <f t="shared" si="107"/>
        <v>D</v>
      </c>
      <c r="SK17" s="151" t="str">
        <f t="shared" si="107"/>
        <v>L</v>
      </c>
      <c r="SL17" s="151" t="str">
        <f t="shared" si="107"/>
        <v>M</v>
      </c>
      <c r="SM17" s="151" t="str">
        <f t="shared" si="107"/>
        <v>M</v>
      </c>
      <c r="SN17" s="151" t="str">
        <f t="shared" si="107"/>
        <v>J</v>
      </c>
      <c r="SO17" s="151" t="str">
        <f t="shared" si="107"/>
        <v>V</v>
      </c>
      <c r="SP17" s="151" t="str">
        <f t="shared" si="107"/>
        <v>S</v>
      </c>
      <c r="SQ17" s="151" t="str">
        <f t="shared" si="107"/>
        <v>D</v>
      </c>
      <c r="SR17" s="151" t="str">
        <f t="shared" si="107"/>
        <v>L</v>
      </c>
      <c r="SS17" s="151" t="str">
        <f t="shared" si="107"/>
        <v>M</v>
      </c>
      <c r="ST17" s="151" t="str">
        <f t="shared" si="107"/>
        <v>M</v>
      </c>
      <c r="SU17" s="151" t="str">
        <f t="shared" si="107"/>
        <v>J</v>
      </c>
      <c r="SV17" s="151" t="str">
        <f t="shared" si="107"/>
        <v>V</v>
      </c>
      <c r="SW17" s="151" t="str">
        <f t="shared" si="107"/>
        <v>S</v>
      </c>
      <c r="SX17" s="151" t="str">
        <f t="shared" si="107"/>
        <v>D</v>
      </c>
      <c r="SY17" s="151" t="str">
        <f t="shared" si="107"/>
        <v>L</v>
      </c>
      <c r="SZ17" s="151" t="str">
        <f t="shared" si="107"/>
        <v>M</v>
      </c>
      <c r="TA17" s="151" t="str">
        <f t="shared" si="107"/>
        <v>M</v>
      </c>
      <c r="TB17" s="151" t="str">
        <f t="shared" si="107"/>
        <v>J</v>
      </c>
      <c r="TC17" s="151" t="str">
        <f t="shared" si="107"/>
        <v>V</v>
      </c>
      <c r="TD17" s="151" t="str">
        <f t="shared" si="107"/>
        <v>S</v>
      </c>
      <c r="TE17" s="151" t="str">
        <f t="shared" si="107"/>
        <v>D</v>
      </c>
      <c r="TF17" s="151" t="str">
        <f t="shared" si="107"/>
        <v>L</v>
      </c>
      <c r="TG17" s="151" t="str">
        <f t="shared" si="107"/>
        <v>M</v>
      </c>
      <c r="TH17" s="151" t="str">
        <f t="shared" si="107"/>
        <v>M</v>
      </c>
      <c r="TI17" s="151" t="str">
        <f t="shared" si="107"/>
        <v>J</v>
      </c>
      <c r="TJ17" s="151" t="str">
        <f t="shared" si="107"/>
        <v>V</v>
      </c>
      <c r="TK17" s="151" t="str">
        <f t="shared" si="107"/>
        <v>S</v>
      </c>
      <c r="TL17" s="151" t="str">
        <f t="shared" si="107"/>
        <v>D</v>
      </c>
      <c r="TM17" s="151" t="str">
        <f t="shared" si="107"/>
        <v>L</v>
      </c>
      <c r="TN17" s="151" t="str">
        <f t="shared" si="107"/>
        <v>M</v>
      </c>
      <c r="TO17" s="151" t="str">
        <f t="shared" si="107"/>
        <v>M</v>
      </c>
      <c r="TP17" s="151" t="str">
        <f t="shared" si="107"/>
        <v>J</v>
      </c>
      <c r="TQ17" s="151" t="str">
        <f t="shared" si="107"/>
        <v>V</v>
      </c>
      <c r="TR17" s="151" t="str">
        <f t="shared" si="107"/>
        <v>S</v>
      </c>
      <c r="TS17" s="151" t="str">
        <f t="shared" si="107"/>
        <v>D</v>
      </c>
      <c r="TT17" s="151" t="str">
        <f t="shared" si="107"/>
        <v>L</v>
      </c>
      <c r="TU17" s="151" t="str">
        <f t="shared" si="107"/>
        <v>M</v>
      </c>
      <c r="TV17" s="151" t="str">
        <f t="shared" si="107"/>
        <v>M</v>
      </c>
      <c r="TW17" s="151" t="str">
        <f t="shared" si="107"/>
        <v>J</v>
      </c>
      <c r="TX17" s="151" t="str">
        <f t="shared" si="107"/>
        <v>V</v>
      </c>
      <c r="TY17" s="151" t="str">
        <f t="shared" si="107"/>
        <v>S</v>
      </c>
      <c r="TZ17" s="151" t="str">
        <f t="shared" si="107"/>
        <v>D</v>
      </c>
      <c r="UA17" s="151" t="str">
        <f t="shared" si="107"/>
        <v>L</v>
      </c>
      <c r="UB17" s="151" t="str">
        <f t="shared" ref="UB17:UM17" si="108">IF(TEXT(UB9,"ddd")="ddd",UPPER(LEFT(TEXT(UB9,"jjj"),1)),UPPER(LEFT(TEXT(UB9,"ddd"),1)))</f>
        <v>M</v>
      </c>
      <c r="UC17" s="151" t="str">
        <f t="shared" si="108"/>
        <v>M</v>
      </c>
      <c r="UD17" s="151" t="str">
        <f t="shared" si="108"/>
        <v>J</v>
      </c>
      <c r="UE17" s="151" t="str">
        <f t="shared" si="108"/>
        <v>V</v>
      </c>
      <c r="UF17" s="151" t="str">
        <f t="shared" si="108"/>
        <v>S</v>
      </c>
      <c r="UG17" s="151" t="str">
        <f t="shared" si="108"/>
        <v>D</v>
      </c>
      <c r="UH17" s="151" t="str">
        <f t="shared" si="108"/>
        <v>L</v>
      </c>
      <c r="UI17" s="151" t="str">
        <f t="shared" si="108"/>
        <v>M</v>
      </c>
      <c r="UJ17" s="151" t="str">
        <f t="shared" si="108"/>
        <v>M</v>
      </c>
      <c r="UK17" s="151" t="str">
        <f t="shared" si="108"/>
        <v>J</v>
      </c>
      <c r="UL17" s="151" t="str">
        <f t="shared" si="108"/>
        <v>V</v>
      </c>
      <c r="UM17" s="151" t="str">
        <f t="shared" si="108"/>
        <v>S</v>
      </c>
    </row>
    <row r="18" spans="1:559" s="133" customFormat="1" ht="13.5" customHeight="1">
      <c r="A18" s="22"/>
      <c r="B18" s="22"/>
      <c r="C18" s="22"/>
      <c r="D18" s="22"/>
      <c r="E18" s="22"/>
      <c r="F18" s="22"/>
      <c r="G18" s="22"/>
      <c r="H18" s="22"/>
      <c r="I18" s="22"/>
      <c r="J18" s="252"/>
      <c r="K18" s="152"/>
      <c r="L18" s="237"/>
      <c r="M18" s="354"/>
      <c r="N18" s="354"/>
      <c r="O18" s="354"/>
      <c r="P18" s="114" t="s">
        <v>1663</v>
      </c>
      <c r="Q18" s="258" t="s">
        <v>729</v>
      </c>
      <c r="R18" s="258" t="s">
        <v>1006</v>
      </c>
      <c r="S18" s="114" t="s">
        <v>1664</v>
      </c>
      <c r="T18" s="114" t="s">
        <v>1665</v>
      </c>
      <c r="U18" s="114"/>
      <c r="V18" s="258" t="s">
        <v>989</v>
      </c>
      <c r="W18" s="180" t="s">
        <v>1666</v>
      </c>
      <c r="X18" s="180" t="s">
        <v>1667</v>
      </c>
      <c r="Y18" s="114" t="s">
        <v>1668</v>
      </c>
      <c r="Z18" s="180" t="s">
        <v>453</v>
      </c>
      <c r="AA18" s="180" t="s">
        <v>454</v>
      </c>
      <c r="AB18" s="313" t="s">
        <v>1669</v>
      </c>
      <c r="AC18" s="167"/>
      <c r="AD18" s="167"/>
      <c r="AE18" s="153" t="s">
        <v>1670</v>
      </c>
      <c r="AF18" s="153" t="s">
        <v>1671</v>
      </c>
      <c r="AG18" s="355" t="s">
        <v>36</v>
      </c>
      <c r="AH18" s="355"/>
      <c r="AI18" s="353"/>
      <c r="AJ18" s="154">
        <f t="shared" ref="AJ18:CU18" si="109">AJ9</f>
        <v>44256</v>
      </c>
      <c r="AK18" s="154">
        <f t="shared" si="109"/>
        <v>44257</v>
      </c>
      <c r="AL18" s="154">
        <f t="shared" si="109"/>
        <v>44258</v>
      </c>
      <c r="AM18" s="154">
        <f t="shared" si="109"/>
        <v>44259</v>
      </c>
      <c r="AN18" s="154">
        <f t="shared" si="109"/>
        <v>44260</v>
      </c>
      <c r="AO18" s="154">
        <f t="shared" si="109"/>
        <v>44261</v>
      </c>
      <c r="AP18" s="154">
        <f t="shared" si="109"/>
        <v>44262</v>
      </c>
      <c r="AQ18" s="154">
        <f t="shared" si="109"/>
        <v>44263</v>
      </c>
      <c r="AR18" s="154">
        <f t="shared" si="109"/>
        <v>44264</v>
      </c>
      <c r="AS18" s="154">
        <f t="shared" si="109"/>
        <v>44265</v>
      </c>
      <c r="AT18" s="154">
        <f t="shared" si="109"/>
        <v>44266</v>
      </c>
      <c r="AU18" s="154">
        <f t="shared" si="109"/>
        <v>44267</v>
      </c>
      <c r="AV18" s="154">
        <f t="shared" si="109"/>
        <v>44268</v>
      </c>
      <c r="AW18" s="154">
        <f t="shared" si="109"/>
        <v>44269</v>
      </c>
      <c r="AX18" s="154">
        <f t="shared" si="109"/>
        <v>44270</v>
      </c>
      <c r="AY18" s="154">
        <f t="shared" si="109"/>
        <v>44271</v>
      </c>
      <c r="AZ18" s="154">
        <f t="shared" si="109"/>
        <v>44272</v>
      </c>
      <c r="BA18" s="154">
        <f t="shared" si="109"/>
        <v>44273</v>
      </c>
      <c r="BB18" s="154">
        <f t="shared" si="109"/>
        <v>44274</v>
      </c>
      <c r="BC18" s="154">
        <f t="shared" si="109"/>
        <v>44275</v>
      </c>
      <c r="BD18" s="154">
        <f t="shared" si="109"/>
        <v>44276</v>
      </c>
      <c r="BE18" s="154">
        <f t="shared" si="109"/>
        <v>44277</v>
      </c>
      <c r="BF18" s="154">
        <f t="shared" si="109"/>
        <v>44278</v>
      </c>
      <c r="BG18" s="154">
        <f t="shared" si="109"/>
        <v>44279</v>
      </c>
      <c r="BH18" s="154">
        <f t="shared" si="109"/>
        <v>44280</v>
      </c>
      <c r="BI18" s="154">
        <f t="shared" si="109"/>
        <v>44281</v>
      </c>
      <c r="BJ18" s="154">
        <f t="shared" si="109"/>
        <v>44282</v>
      </c>
      <c r="BK18" s="154">
        <f t="shared" si="109"/>
        <v>44283</v>
      </c>
      <c r="BL18" s="154">
        <f t="shared" si="109"/>
        <v>44284</v>
      </c>
      <c r="BM18" s="154">
        <f t="shared" si="109"/>
        <v>44285</v>
      </c>
      <c r="BN18" s="154">
        <f t="shared" si="109"/>
        <v>44286</v>
      </c>
      <c r="BO18" s="154">
        <f t="shared" si="109"/>
        <v>44287</v>
      </c>
      <c r="BP18" s="154">
        <f t="shared" si="109"/>
        <v>44288</v>
      </c>
      <c r="BQ18" s="154">
        <f t="shared" si="109"/>
        <v>44289</v>
      </c>
      <c r="BR18" s="154">
        <f t="shared" si="109"/>
        <v>44290</v>
      </c>
      <c r="BS18" s="154">
        <f t="shared" si="109"/>
        <v>44291</v>
      </c>
      <c r="BT18" s="154">
        <f t="shared" si="109"/>
        <v>44292</v>
      </c>
      <c r="BU18" s="154">
        <f t="shared" si="109"/>
        <v>44293</v>
      </c>
      <c r="BV18" s="154">
        <f t="shared" si="109"/>
        <v>44294</v>
      </c>
      <c r="BW18" s="154">
        <f t="shared" si="109"/>
        <v>44295</v>
      </c>
      <c r="BX18" s="154">
        <f t="shared" si="109"/>
        <v>44296</v>
      </c>
      <c r="BY18" s="154">
        <f t="shared" si="109"/>
        <v>44297</v>
      </c>
      <c r="BZ18" s="154">
        <f t="shared" si="109"/>
        <v>44298</v>
      </c>
      <c r="CA18" s="154">
        <f t="shared" si="109"/>
        <v>44299</v>
      </c>
      <c r="CB18" s="154">
        <f t="shared" si="109"/>
        <v>44300</v>
      </c>
      <c r="CC18" s="154">
        <f t="shared" si="109"/>
        <v>44301</v>
      </c>
      <c r="CD18" s="154">
        <f t="shared" si="109"/>
        <v>44302</v>
      </c>
      <c r="CE18" s="154">
        <f t="shared" si="109"/>
        <v>44303</v>
      </c>
      <c r="CF18" s="154">
        <f t="shared" si="109"/>
        <v>44304</v>
      </c>
      <c r="CG18" s="154">
        <f t="shared" si="109"/>
        <v>44305</v>
      </c>
      <c r="CH18" s="154">
        <f t="shared" si="109"/>
        <v>44306</v>
      </c>
      <c r="CI18" s="154">
        <f t="shared" si="109"/>
        <v>44307</v>
      </c>
      <c r="CJ18" s="154">
        <f t="shared" si="109"/>
        <v>44308</v>
      </c>
      <c r="CK18" s="154">
        <f t="shared" si="109"/>
        <v>44309</v>
      </c>
      <c r="CL18" s="154">
        <f t="shared" si="109"/>
        <v>44310</v>
      </c>
      <c r="CM18" s="154">
        <f t="shared" si="109"/>
        <v>44311</v>
      </c>
      <c r="CN18" s="154">
        <f t="shared" si="109"/>
        <v>44312</v>
      </c>
      <c r="CO18" s="154">
        <f t="shared" si="109"/>
        <v>44313</v>
      </c>
      <c r="CP18" s="154">
        <f t="shared" si="109"/>
        <v>44314</v>
      </c>
      <c r="CQ18" s="154">
        <f t="shared" si="109"/>
        <v>44315</v>
      </c>
      <c r="CR18" s="154">
        <f t="shared" si="109"/>
        <v>44316</v>
      </c>
      <c r="CS18" s="154">
        <f t="shared" si="109"/>
        <v>44317</v>
      </c>
      <c r="CT18" s="154">
        <f t="shared" si="109"/>
        <v>44318</v>
      </c>
      <c r="CU18" s="154">
        <f t="shared" si="109"/>
        <v>44319</v>
      </c>
      <c r="CV18" s="154">
        <f t="shared" ref="CV18:FG18" si="110">CV9</f>
        <v>44320</v>
      </c>
      <c r="CW18" s="154">
        <f t="shared" si="110"/>
        <v>44321</v>
      </c>
      <c r="CX18" s="154">
        <f t="shared" si="110"/>
        <v>44322</v>
      </c>
      <c r="CY18" s="154">
        <f t="shared" si="110"/>
        <v>44323</v>
      </c>
      <c r="CZ18" s="154">
        <f t="shared" si="110"/>
        <v>44324</v>
      </c>
      <c r="DA18" s="154">
        <f t="shared" si="110"/>
        <v>44325</v>
      </c>
      <c r="DB18" s="154">
        <f t="shared" si="110"/>
        <v>44326</v>
      </c>
      <c r="DC18" s="154">
        <f t="shared" si="110"/>
        <v>44327</v>
      </c>
      <c r="DD18" s="154">
        <f t="shared" si="110"/>
        <v>44328</v>
      </c>
      <c r="DE18" s="154">
        <f t="shared" si="110"/>
        <v>44329</v>
      </c>
      <c r="DF18" s="154">
        <f t="shared" si="110"/>
        <v>44330</v>
      </c>
      <c r="DG18" s="154">
        <f t="shared" si="110"/>
        <v>44331</v>
      </c>
      <c r="DH18" s="154">
        <f t="shared" si="110"/>
        <v>44332</v>
      </c>
      <c r="DI18" s="154">
        <f t="shared" si="110"/>
        <v>44333</v>
      </c>
      <c r="DJ18" s="154">
        <f t="shared" si="110"/>
        <v>44334</v>
      </c>
      <c r="DK18" s="154">
        <f t="shared" si="110"/>
        <v>44335</v>
      </c>
      <c r="DL18" s="154">
        <f t="shared" si="110"/>
        <v>44336</v>
      </c>
      <c r="DM18" s="154">
        <f t="shared" si="110"/>
        <v>44337</v>
      </c>
      <c r="DN18" s="154">
        <f t="shared" si="110"/>
        <v>44338</v>
      </c>
      <c r="DO18" s="154">
        <f t="shared" si="110"/>
        <v>44339</v>
      </c>
      <c r="DP18" s="154">
        <f t="shared" si="110"/>
        <v>44340</v>
      </c>
      <c r="DQ18" s="154">
        <f t="shared" si="110"/>
        <v>44341</v>
      </c>
      <c r="DR18" s="154">
        <f t="shared" si="110"/>
        <v>44342</v>
      </c>
      <c r="DS18" s="154">
        <f t="shared" si="110"/>
        <v>44343</v>
      </c>
      <c r="DT18" s="154">
        <f t="shared" si="110"/>
        <v>44344</v>
      </c>
      <c r="DU18" s="154">
        <f t="shared" si="110"/>
        <v>44345</v>
      </c>
      <c r="DV18" s="154">
        <f t="shared" si="110"/>
        <v>44346</v>
      </c>
      <c r="DW18" s="154">
        <f t="shared" si="110"/>
        <v>44347</v>
      </c>
      <c r="DX18" s="154">
        <f t="shared" si="110"/>
        <v>44348</v>
      </c>
      <c r="DY18" s="154">
        <f t="shared" si="110"/>
        <v>44349</v>
      </c>
      <c r="DZ18" s="154">
        <f t="shared" si="110"/>
        <v>44350</v>
      </c>
      <c r="EA18" s="154">
        <f t="shared" si="110"/>
        <v>44351</v>
      </c>
      <c r="EB18" s="154">
        <f t="shared" si="110"/>
        <v>44352</v>
      </c>
      <c r="EC18" s="154">
        <f t="shared" si="110"/>
        <v>44353</v>
      </c>
      <c r="ED18" s="154">
        <f t="shared" si="110"/>
        <v>44354</v>
      </c>
      <c r="EE18" s="154">
        <f t="shared" si="110"/>
        <v>44355</v>
      </c>
      <c r="EF18" s="154">
        <f t="shared" si="110"/>
        <v>44356</v>
      </c>
      <c r="EG18" s="154">
        <f t="shared" si="110"/>
        <v>44357</v>
      </c>
      <c r="EH18" s="154">
        <f t="shared" si="110"/>
        <v>44358</v>
      </c>
      <c r="EI18" s="154">
        <f t="shared" si="110"/>
        <v>44359</v>
      </c>
      <c r="EJ18" s="154">
        <f t="shared" si="110"/>
        <v>44360</v>
      </c>
      <c r="EK18" s="154">
        <f t="shared" si="110"/>
        <v>44361</v>
      </c>
      <c r="EL18" s="154">
        <f t="shared" si="110"/>
        <v>44362</v>
      </c>
      <c r="EM18" s="154">
        <f t="shared" si="110"/>
        <v>44363</v>
      </c>
      <c r="EN18" s="154">
        <f t="shared" si="110"/>
        <v>44364</v>
      </c>
      <c r="EO18" s="154">
        <f t="shared" si="110"/>
        <v>44365</v>
      </c>
      <c r="EP18" s="154">
        <f t="shared" si="110"/>
        <v>44366</v>
      </c>
      <c r="EQ18" s="154">
        <f t="shared" si="110"/>
        <v>44367</v>
      </c>
      <c r="ER18" s="154">
        <f t="shared" si="110"/>
        <v>44368</v>
      </c>
      <c r="ES18" s="154">
        <f t="shared" si="110"/>
        <v>44369</v>
      </c>
      <c r="ET18" s="154">
        <f t="shared" si="110"/>
        <v>44370</v>
      </c>
      <c r="EU18" s="154">
        <f t="shared" si="110"/>
        <v>44371</v>
      </c>
      <c r="EV18" s="154">
        <f t="shared" si="110"/>
        <v>44372</v>
      </c>
      <c r="EW18" s="154">
        <f t="shared" si="110"/>
        <v>44373</v>
      </c>
      <c r="EX18" s="154">
        <f t="shared" si="110"/>
        <v>44374</v>
      </c>
      <c r="EY18" s="154">
        <f t="shared" si="110"/>
        <v>44375</v>
      </c>
      <c r="EZ18" s="154">
        <f t="shared" si="110"/>
        <v>44376</v>
      </c>
      <c r="FA18" s="154">
        <f t="shared" si="110"/>
        <v>44377</v>
      </c>
      <c r="FB18" s="154">
        <f t="shared" si="110"/>
        <v>44378</v>
      </c>
      <c r="FC18" s="154">
        <f t="shared" si="110"/>
        <v>44379</v>
      </c>
      <c r="FD18" s="154">
        <f t="shared" si="110"/>
        <v>44380</v>
      </c>
      <c r="FE18" s="154">
        <f t="shared" si="110"/>
        <v>44381</v>
      </c>
      <c r="FF18" s="154">
        <f t="shared" si="110"/>
        <v>44382</v>
      </c>
      <c r="FG18" s="154">
        <f t="shared" si="110"/>
        <v>44383</v>
      </c>
      <c r="FH18" s="154">
        <f t="shared" ref="FH18:HS18" si="111">FH9</f>
        <v>44384</v>
      </c>
      <c r="FI18" s="154">
        <f t="shared" si="111"/>
        <v>44385</v>
      </c>
      <c r="FJ18" s="154">
        <f t="shared" si="111"/>
        <v>44386</v>
      </c>
      <c r="FK18" s="154">
        <f t="shared" si="111"/>
        <v>44387</v>
      </c>
      <c r="FL18" s="154">
        <f t="shared" si="111"/>
        <v>44388</v>
      </c>
      <c r="FM18" s="154">
        <f t="shared" si="111"/>
        <v>44389</v>
      </c>
      <c r="FN18" s="154">
        <f t="shared" si="111"/>
        <v>44390</v>
      </c>
      <c r="FO18" s="154">
        <f t="shared" si="111"/>
        <v>44391</v>
      </c>
      <c r="FP18" s="154">
        <f t="shared" si="111"/>
        <v>44392</v>
      </c>
      <c r="FQ18" s="154">
        <f t="shared" si="111"/>
        <v>44393</v>
      </c>
      <c r="FR18" s="154">
        <f t="shared" si="111"/>
        <v>44394</v>
      </c>
      <c r="FS18" s="154">
        <f t="shared" si="111"/>
        <v>44395</v>
      </c>
      <c r="FT18" s="154">
        <f t="shared" si="111"/>
        <v>44396</v>
      </c>
      <c r="FU18" s="154">
        <f t="shared" si="111"/>
        <v>44397</v>
      </c>
      <c r="FV18" s="154">
        <f t="shared" si="111"/>
        <v>44398</v>
      </c>
      <c r="FW18" s="154">
        <f t="shared" si="111"/>
        <v>44399</v>
      </c>
      <c r="FX18" s="154">
        <f t="shared" si="111"/>
        <v>44400</v>
      </c>
      <c r="FY18" s="154">
        <f t="shared" si="111"/>
        <v>44401</v>
      </c>
      <c r="FZ18" s="154">
        <f t="shared" si="111"/>
        <v>44402</v>
      </c>
      <c r="GA18" s="154">
        <f t="shared" si="111"/>
        <v>44403</v>
      </c>
      <c r="GB18" s="154">
        <f t="shared" si="111"/>
        <v>44404</v>
      </c>
      <c r="GC18" s="154">
        <f t="shared" si="111"/>
        <v>44405</v>
      </c>
      <c r="GD18" s="154">
        <f t="shared" si="111"/>
        <v>44406</v>
      </c>
      <c r="GE18" s="154">
        <f t="shared" si="111"/>
        <v>44407</v>
      </c>
      <c r="GF18" s="154">
        <f t="shared" si="111"/>
        <v>44408</v>
      </c>
      <c r="GG18" s="154">
        <f t="shared" si="111"/>
        <v>44409</v>
      </c>
      <c r="GH18" s="154">
        <f t="shared" si="111"/>
        <v>44410</v>
      </c>
      <c r="GI18" s="154">
        <f t="shared" si="111"/>
        <v>44411</v>
      </c>
      <c r="GJ18" s="154">
        <f t="shared" si="111"/>
        <v>44412</v>
      </c>
      <c r="GK18" s="154">
        <f t="shared" si="111"/>
        <v>44413</v>
      </c>
      <c r="GL18" s="154">
        <f t="shared" si="111"/>
        <v>44414</v>
      </c>
      <c r="GM18" s="154">
        <f t="shared" si="111"/>
        <v>44415</v>
      </c>
      <c r="GN18" s="154">
        <f t="shared" si="111"/>
        <v>44416</v>
      </c>
      <c r="GO18" s="154">
        <f t="shared" si="111"/>
        <v>44417</v>
      </c>
      <c r="GP18" s="154">
        <f t="shared" si="111"/>
        <v>44418</v>
      </c>
      <c r="GQ18" s="154">
        <f t="shared" si="111"/>
        <v>44419</v>
      </c>
      <c r="GR18" s="154">
        <f t="shared" si="111"/>
        <v>44420</v>
      </c>
      <c r="GS18" s="154">
        <f t="shared" si="111"/>
        <v>44421</v>
      </c>
      <c r="GT18" s="154">
        <f t="shared" si="111"/>
        <v>44422</v>
      </c>
      <c r="GU18" s="154">
        <f t="shared" si="111"/>
        <v>44423</v>
      </c>
      <c r="GV18" s="154">
        <f t="shared" si="111"/>
        <v>44424</v>
      </c>
      <c r="GW18" s="154">
        <f t="shared" si="111"/>
        <v>44425</v>
      </c>
      <c r="GX18" s="154">
        <f t="shared" si="111"/>
        <v>44426</v>
      </c>
      <c r="GY18" s="154">
        <f t="shared" si="111"/>
        <v>44427</v>
      </c>
      <c r="GZ18" s="154">
        <f t="shared" si="111"/>
        <v>44428</v>
      </c>
      <c r="HA18" s="154">
        <f t="shared" si="111"/>
        <v>44429</v>
      </c>
      <c r="HB18" s="154">
        <f t="shared" si="111"/>
        <v>44430</v>
      </c>
      <c r="HC18" s="154">
        <f t="shared" si="111"/>
        <v>44431</v>
      </c>
      <c r="HD18" s="154">
        <f t="shared" si="111"/>
        <v>44432</v>
      </c>
      <c r="HE18" s="154">
        <f t="shared" si="111"/>
        <v>44433</v>
      </c>
      <c r="HF18" s="154">
        <f t="shared" si="111"/>
        <v>44434</v>
      </c>
      <c r="HG18" s="154">
        <f t="shared" si="111"/>
        <v>44435</v>
      </c>
      <c r="HH18" s="154">
        <f t="shared" si="111"/>
        <v>44436</v>
      </c>
      <c r="HI18" s="154">
        <f t="shared" si="111"/>
        <v>44437</v>
      </c>
      <c r="HJ18" s="154">
        <f t="shared" si="111"/>
        <v>44438</v>
      </c>
      <c r="HK18" s="154">
        <f t="shared" si="111"/>
        <v>44439</v>
      </c>
      <c r="HL18" s="154">
        <f t="shared" si="111"/>
        <v>44440</v>
      </c>
      <c r="HM18" s="154">
        <f t="shared" si="111"/>
        <v>44441</v>
      </c>
      <c r="HN18" s="154">
        <f t="shared" si="111"/>
        <v>44442</v>
      </c>
      <c r="HO18" s="154">
        <f t="shared" si="111"/>
        <v>44443</v>
      </c>
      <c r="HP18" s="154">
        <f t="shared" si="111"/>
        <v>44444</v>
      </c>
      <c r="HQ18" s="154">
        <f t="shared" si="111"/>
        <v>44445</v>
      </c>
      <c r="HR18" s="154">
        <f t="shared" si="111"/>
        <v>44446</v>
      </c>
      <c r="HS18" s="154">
        <f t="shared" si="111"/>
        <v>44447</v>
      </c>
      <c r="HT18" s="154">
        <f t="shared" ref="HT18:KE18" si="112">HT9</f>
        <v>44448</v>
      </c>
      <c r="HU18" s="154">
        <f t="shared" si="112"/>
        <v>44449</v>
      </c>
      <c r="HV18" s="154">
        <f t="shared" si="112"/>
        <v>44450</v>
      </c>
      <c r="HW18" s="154">
        <f t="shared" si="112"/>
        <v>44451</v>
      </c>
      <c r="HX18" s="154">
        <f t="shared" si="112"/>
        <v>44452</v>
      </c>
      <c r="HY18" s="154">
        <f t="shared" si="112"/>
        <v>44453</v>
      </c>
      <c r="HZ18" s="154">
        <f t="shared" si="112"/>
        <v>44454</v>
      </c>
      <c r="IA18" s="154">
        <f t="shared" si="112"/>
        <v>44455</v>
      </c>
      <c r="IB18" s="154">
        <f t="shared" si="112"/>
        <v>44456</v>
      </c>
      <c r="IC18" s="154">
        <f t="shared" si="112"/>
        <v>44457</v>
      </c>
      <c r="ID18" s="154">
        <f t="shared" si="112"/>
        <v>44458</v>
      </c>
      <c r="IE18" s="154">
        <f t="shared" si="112"/>
        <v>44459</v>
      </c>
      <c r="IF18" s="154">
        <f t="shared" si="112"/>
        <v>44460</v>
      </c>
      <c r="IG18" s="154">
        <f t="shared" si="112"/>
        <v>44461</v>
      </c>
      <c r="IH18" s="154">
        <f t="shared" si="112"/>
        <v>44462</v>
      </c>
      <c r="II18" s="154">
        <f t="shared" si="112"/>
        <v>44463</v>
      </c>
      <c r="IJ18" s="154">
        <f t="shared" si="112"/>
        <v>44464</v>
      </c>
      <c r="IK18" s="154">
        <f t="shared" si="112"/>
        <v>44465</v>
      </c>
      <c r="IL18" s="154">
        <f t="shared" si="112"/>
        <v>44466</v>
      </c>
      <c r="IM18" s="154">
        <f t="shared" si="112"/>
        <v>44467</v>
      </c>
      <c r="IN18" s="154">
        <f t="shared" si="112"/>
        <v>44468</v>
      </c>
      <c r="IO18" s="154">
        <f t="shared" si="112"/>
        <v>44469</v>
      </c>
      <c r="IP18" s="154">
        <f t="shared" si="112"/>
        <v>44470</v>
      </c>
      <c r="IQ18" s="154">
        <f t="shared" si="112"/>
        <v>44471</v>
      </c>
      <c r="IR18" s="154">
        <f t="shared" si="112"/>
        <v>44472</v>
      </c>
      <c r="IS18" s="154">
        <f t="shared" si="112"/>
        <v>44473</v>
      </c>
      <c r="IT18" s="154">
        <f t="shared" si="112"/>
        <v>44474</v>
      </c>
      <c r="IU18" s="154">
        <f t="shared" si="112"/>
        <v>44475</v>
      </c>
      <c r="IV18" s="154">
        <f t="shared" si="112"/>
        <v>44476</v>
      </c>
      <c r="IW18" s="154">
        <f t="shared" si="112"/>
        <v>44477</v>
      </c>
      <c r="IX18" s="154">
        <f t="shared" si="112"/>
        <v>44478</v>
      </c>
      <c r="IY18" s="154">
        <f t="shared" si="112"/>
        <v>44479</v>
      </c>
      <c r="IZ18" s="154">
        <f t="shared" si="112"/>
        <v>44480</v>
      </c>
      <c r="JA18" s="154">
        <f t="shared" si="112"/>
        <v>44481</v>
      </c>
      <c r="JB18" s="154">
        <f t="shared" si="112"/>
        <v>44482</v>
      </c>
      <c r="JC18" s="154">
        <f t="shared" si="112"/>
        <v>44483</v>
      </c>
      <c r="JD18" s="154">
        <f t="shared" si="112"/>
        <v>44484</v>
      </c>
      <c r="JE18" s="154">
        <f t="shared" si="112"/>
        <v>44485</v>
      </c>
      <c r="JF18" s="154">
        <f t="shared" si="112"/>
        <v>44486</v>
      </c>
      <c r="JG18" s="154">
        <f t="shared" si="112"/>
        <v>44487</v>
      </c>
      <c r="JH18" s="154">
        <f t="shared" si="112"/>
        <v>44488</v>
      </c>
      <c r="JI18" s="154">
        <f t="shared" si="112"/>
        <v>44489</v>
      </c>
      <c r="JJ18" s="154">
        <f t="shared" si="112"/>
        <v>44490</v>
      </c>
      <c r="JK18" s="154">
        <f t="shared" si="112"/>
        <v>44491</v>
      </c>
      <c r="JL18" s="154">
        <f t="shared" si="112"/>
        <v>44492</v>
      </c>
      <c r="JM18" s="154">
        <f t="shared" si="112"/>
        <v>44493</v>
      </c>
      <c r="JN18" s="154">
        <f t="shared" si="112"/>
        <v>44494</v>
      </c>
      <c r="JO18" s="154">
        <f t="shared" si="112"/>
        <v>44495</v>
      </c>
      <c r="JP18" s="154">
        <f t="shared" si="112"/>
        <v>44496</v>
      </c>
      <c r="JQ18" s="154">
        <f t="shared" si="112"/>
        <v>44497</v>
      </c>
      <c r="JR18" s="154">
        <f t="shared" si="112"/>
        <v>44498</v>
      </c>
      <c r="JS18" s="154">
        <f t="shared" si="112"/>
        <v>44499</v>
      </c>
      <c r="JT18" s="154">
        <f t="shared" si="112"/>
        <v>44500</v>
      </c>
      <c r="JU18" s="154">
        <f t="shared" si="112"/>
        <v>44501</v>
      </c>
      <c r="JV18" s="154">
        <f t="shared" si="112"/>
        <v>44502</v>
      </c>
      <c r="JW18" s="154">
        <f t="shared" si="112"/>
        <v>44503</v>
      </c>
      <c r="JX18" s="154">
        <f t="shared" si="112"/>
        <v>44504</v>
      </c>
      <c r="JY18" s="154">
        <f t="shared" si="112"/>
        <v>44505</v>
      </c>
      <c r="JZ18" s="154">
        <f t="shared" si="112"/>
        <v>44506</v>
      </c>
      <c r="KA18" s="154">
        <f t="shared" si="112"/>
        <v>44507</v>
      </c>
      <c r="KB18" s="154">
        <f t="shared" si="112"/>
        <v>44508</v>
      </c>
      <c r="KC18" s="154">
        <f t="shared" si="112"/>
        <v>44509</v>
      </c>
      <c r="KD18" s="154">
        <f t="shared" si="112"/>
        <v>44510</v>
      </c>
      <c r="KE18" s="154">
        <f t="shared" si="112"/>
        <v>44511</v>
      </c>
      <c r="KF18" s="154">
        <f t="shared" ref="KF18:MQ18" si="113">KF9</f>
        <v>44512</v>
      </c>
      <c r="KG18" s="154">
        <f t="shared" si="113"/>
        <v>44513</v>
      </c>
      <c r="KH18" s="154">
        <f t="shared" si="113"/>
        <v>44514</v>
      </c>
      <c r="KI18" s="154">
        <f t="shared" si="113"/>
        <v>44515</v>
      </c>
      <c r="KJ18" s="154">
        <f t="shared" si="113"/>
        <v>44516</v>
      </c>
      <c r="KK18" s="154">
        <f t="shared" si="113"/>
        <v>44517</v>
      </c>
      <c r="KL18" s="154">
        <f t="shared" si="113"/>
        <v>44518</v>
      </c>
      <c r="KM18" s="154">
        <f t="shared" si="113"/>
        <v>44519</v>
      </c>
      <c r="KN18" s="154">
        <f t="shared" si="113"/>
        <v>44520</v>
      </c>
      <c r="KO18" s="154">
        <f t="shared" si="113"/>
        <v>44521</v>
      </c>
      <c r="KP18" s="154">
        <f t="shared" si="113"/>
        <v>44522</v>
      </c>
      <c r="KQ18" s="154">
        <f t="shared" si="113"/>
        <v>44523</v>
      </c>
      <c r="KR18" s="154">
        <f t="shared" si="113"/>
        <v>44524</v>
      </c>
      <c r="KS18" s="154">
        <f t="shared" si="113"/>
        <v>44525</v>
      </c>
      <c r="KT18" s="154">
        <f t="shared" si="113"/>
        <v>44526</v>
      </c>
      <c r="KU18" s="154">
        <f t="shared" si="113"/>
        <v>44527</v>
      </c>
      <c r="KV18" s="154">
        <f t="shared" si="113"/>
        <v>44528</v>
      </c>
      <c r="KW18" s="154">
        <f t="shared" si="113"/>
        <v>44529</v>
      </c>
      <c r="KX18" s="154">
        <f t="shared" si="113"/>
        <v>44530</v>
      </c>
      <c r="KY18" s="154">
        <f t="shared" si="113"/>
        <v>44531</v>
      </c>
      <c r="KZ18" s="154">
        <f t="shared" si="113"/>
        <v>44532</v>
      </c>
      <c r="LA18" s="154">
        <f t="shared" si="113"/>
        <v>44533</v>
      </c>
      <c r="LB18" s="154">
        <f t="shared" si="113"/>
        <v>44534</v>
      </c>
      <c r="LC18" s="154">
        <f t="shared" si="113"/>
        <v>44535</v>
      </c>
      <c r="LD18" s="154">
        <f t="shared" si="113"/>
        <v>44536</v>
      </c>
      <c r="LE18" s="154">
        <f t="shared" si="113"/>
        <v>44537</v>
      </c>
      <c r="LF18" s="154">
        <f t="shared" si="113"/>
        <v>44538</v>
      </c>
      <c r="LG18" s="154">
        <f t="shared" si="113"/>
        <v>44539</v>
      </c>
      <c r="LH18" s="154">
        <f t="shared" si="113"/>
        <v>44540</v>
      </c>
      <c r="LI18" s="154">
        <f t="shared" si="113"/>
        <v>44541</v>
      </c>
      <c r="LJ18" s="154">
        <f t="shared" si="113"/>
        <v>44542</v>
      </c>
      <c r="LK18" s="154">
        <f t="shared" si="113"/>
        <v>44543</v>
      </c>
      <c r="LL18" s="154">
        <f t="shared" si="113"/>
        <v>44544</v>
      </c>
      <c r="LM18" s="154">
        <f t="shared" si="113"/>
        <v>44545</v>
      </c>
      <c r="LN18" s="154">
        <f t="shared" si="113"/>
        <v>44546</v>
      </c>
      <c r="LO18" s="154">
        <f t="shared" si="113"/>
        <v>44547</v>
      </c>
      <c r="LP18" s="154">
        <f t="shared" si="113"/>
        <v>44548</v>
      </c>
      <c r="LQ18" s="154">
        <f t="shared" si="113"/>
        <v>44549</v>
      </c>
      <c r="LR18" s="154">
        <f t="shared" si="113"/>
        <v>44550</v>
      </c>
      <c r="LS18" s="154">
        <f t="shared" si="113"/>
        <v>44551</v>
      </c>
      <c r="LT18" s="154">
        <f t="shared" si="113"/>
        <v>44552</v>
      </c>
      <c r="LU18" s="154">
        <f t="shared" si="113"/>
        <v>44553</v>
      </c>
      <c r="LV18" s="154">
        <f t="shared" si="113"/>
        <v>44554</v>
      </c>
      <c r="LW18" s="154">
        <f t="shared" si="113"/>
        <v>44555</v>
      </c>
      <c r="LX18" s="154">
        <f t="shared" si="113"/>
        <v>44556</v>
      </c>
      <c r="LY18" s="154">
        <f t="shared" si="113"/>
        <v>44557</v>
      </c>
      <c r="LZ18" s="154">
        <f t="shared" si="113"/>
        <v>44558</v>
      </c>
      <c r="MA18" s="154">
        <f t="shared" si="113"/>
        <v>44559</v>
      </c>
      <c r="MB18" s="154">
        <f t="shared" si="113"/>
        <v>44560</v>
      </c>
      <c r="MC18" s="154">
        <f t="shared" si="113"/>
        <v>44561</v>
      </c>
      <c r="MD18" s="154">
        <f t="shared" si="113"/>
        <v>44562</v>
      </c>
      <c r="ME18" s="154">
        <f t="shared" si="113"/>
        <v>44563</v>
      </c>
      <c r="MF18" s="154">
        <f t="shared" si="113"/>
        <v>44564</v>
      </c>
      <c r="MG18" s="154">
        <f t="shared" si="113"/>
        <v>44565</v>
      </c>
      <c r="MH18" s="154">
        <f t="shared" si="113"/>
        <v>44566</v>
      </c>
      <c r="MI18" s="154">
        <f t="shared" si="113"/>
        <v>44567</v>
      </c>
      <c r="MJ18" s="154">
        <f t="shared" si="113"/>
        <v>44568</v>
      </c>
      <c r="MK18" s="154">
        <f t="shared" si="113"/>
        <v>44569</v>
      </c>
      <c r="ML18" s="154">
        <f t="shared" si="113"/>
        <v>44570</v>
      </c>
      <c r="MM18" s="154">
        <f t="shared" si="113"/>
        <v>44571</v>
      </c>
      <c r="MN18" s="154">
        <f t="shared" si="113"/>
        <v>44572</v>
      </c>
      <c r="MO18" s="154">
        <f t="shared" si="113"/>
        <v>44573</v>
      </c>
      <c r="MP18" s="154">
        <f t="shared" si="113"/>
        <v>44574</v>
      </c>
      <c r="MQ18" s="154">
        <f t="shared" si="113"/>
        <v>44575</v>
      </c>
      <c r="MR18" s="154">
        <f t="shared" ref="MR18:PC18" si="114">MR9</f>
        <v>44576</v>
      </c>
      <c r="MS18" s="154">
        <f t="shared" si="114"/>
        <v>44577</v>
      </c>
      <c r="MT18" s="154">
        <f t="shared" si="114"/>
        <v>44578</v>
      </c>
      <c r="MU18" s="154">
        <f t="shared" si="114"/>
        <v>44579</v>
      </c>
      <c r="MV18" s="154">
        <f t="shared" si="114"/>
        <v>44580</v>
      </c>
      <c r="MW18" s="154">
        <f t="shared" si="114"/>
        <v>44581</v>
      </c>
      <c r="MX18" s="154">
        <f t="shared" si="114"/>
        <v>44582</v>
      </c>
      <c r="MY18" s="154">
        <f t="shared" si="114"/>
        <v>44583</v>
      </c>
      <c r="MZ18" s="154">
        <f t="shared" si="114"/>
        <v>44584</v>
      </c>
      <c r="NA18" s="154">
        <f t="shared" si="114"/>
        <v>44585</v>
      </c>
      <c r="NB18" s="154">
        <f t="shared" si="114"/>
        <v>44586</v>
      </c>
      <c r="NC18" s="154">
        <f t="shared" si="114"/>
        <v>44587</v>
      </c>
      <c r="ND18" s="154">
        <f t="shared" si="114"/>
        <v>44588</v>
      </c>
      <c r="NE18" s="154">
        <f t="shared" si="114"/>
        <v>44589</v>
      </c>
      <c r="NF18" s="154">
        <f t="shared" si="114"/>
        <v>44590</v>
      </c>
      <c r="NG18" s="154">
        <f t="shared" si="114"/>
        <v>44591</v>
      </c>
      <c r="NH18" s="154">
        <f t="shared" si="114"/>
        <v>44592</v>
      </c>
      <c r="NI18" s="154">
        <f t="shared" si="114"/>
        <v>44593</v>
      </c>
      <c r="NJ18" s="154">
        <f t="shared" si="114"/>
        <v>44594</v>
      </c>
      <c r="NK18" s="154">
        <f t="shared" si="114"/>
        <v>44595</v>
      </c>
      <c r="NL18" s="154">
        <f t="shared" si="114"/>
        <v>44596</v>
      </c>
      <c r="NM18" s="154">
        <f t="shared" si="114"/>
        <v>44597</v>
      </c>
      <c r="NN18" s="154">
        <f t="shared" si="114"/>
        <v>44598</v>
      </c>
      <c r="NO18" s="154">
        <f t="shared" si="114"/>
        <v>44599</v>
      </c>
      <c r="NP18" s="154">
        <f t="shared" si="114"/>
        <v>44600</v>
      </c>
      <c r="NQ18" s="154">
        <f t="shared" si="114"/>
        <v>44601</v>
      </c>
      <c r="NR18" s="154">
        <f t="shared" si="114"/>
        <v>44602</v>
      </c>
      <c r="NS18" s="154">
        <f t="shared" si="114"/>
        <v>44603</v>
      </c>
      <c r="NT18" s="154">
        <f t="shared" si="114"/>
        <v>44604</v>
      </c>
      <c r="NU18" s="154">
        <f t="shared" si="114"/>
        <v>44605</v>
      </c>
      <c r="NV18" s="154">
        <f t="shared" si="114"/>
        <v>44606</v>
      </c>
      <c r="NW18" s="154">
        <f t="shared" si="114"/>
        <v>44607</v>
      </c>
      <c r="NX18" s="154">
        <f t="shared" si="114"/>
        <v>44608</v>
      </c>
      <c r="NY18" s="154">
        <f t="shared" si="114"/>
        <v>44609</v>
      </c>
      <c r="NZ18" s="154">
        <f t="shared" si="114"/>
        <v>44610</v>
      </c>
      <c r="OA18" s="154">
        <f t="shared" si="114"/>
        <v>44611</v>
      </c>
      <c r="OB18" s="154">
        <f t="shared" si="114"/>
        <v>44612</v>
      </c>
      <c r="OC18" s="154">
        <f t="shared" si="114"/>
        <v>44613</v>
      </c>
      <c r="OD18" s="154">
        <f t="shared" si="114"/>
        <v>44614</v>
      </c>
      <c r="OE18" s="154">
        <f t="shared" si="114"/>
        <v>44615</v>
      </c>
      <c r="OF18" s="154">
        <f t="shared" si="114"/>
        <v>44616</v>
      </c>
      <c r="OG18" s="154">
        <f t="shared" si="114"/>
        <v>44617</v>
      </c>
      <c r="OH18" s="154">
        <f t="shared" si="114"/>
        <v>44618</v>
      </c>
      <c r="OI18" s="154">
        <f t="shared" si="114"/>
        <v>44619</v>
      </c>
      <c r="OJ18" s="154">
        <f t="shared" si="114"/>
        <v>44620</v>
      </c>
      <c r="OK18" s="154">
        <f t="shared" si="114"/>
        <v>44621</v>
      </c>
      <c r="OL18" s="154">
        <f t="shared" si="114"/>
        <v>44622</v>
      </c>
      <c r="OM18" s="154">
        <f t="shared" si="114"/>
        <v>44623</v>
      </c>
      <c r="ON18" s="154">
        <f t="shared" si="114"/>
        <v>44624</v>
      </c>
      <c r="OO18" s="154">
        <f t="shared" si="114"/>
        <v>44625</v>
      </c>
      <c r="OP18" s="154">
        <f t="shared" si="114"/>
        <v>44626</v>
      </c>
      <c r="OQ18" s="154">
        <f t="shared" si="114"/>
        <v>44627</v>
      </c>
      <c r="OR18" s="154">
        <f t="shared" si="114"/>
        <v>44628</v>
      </c>
      <c r="OS18" s="154">
        <f t="shared" si="114"/>
        <v>44629</v>
      </c>
      <c r="OT18" s="154">
        <f t="shared" si="114"/>
        <v>44630</v>
      </c>
      <c r="OU18" s="154">
        <f t="shared" si="114"/>
        <v>44631</v>
      </c>
      <c r="OV18" s="154">
        <f t="shared" si="114"/>
        <v>44632</v>
      </c>
      <c r="OW18" s="154">
        <f t="shared" si="114"/>
        <v>44633</v>
      </c>
      <c r="OX18" s="154">
        <f t="shared" si="114"/>
        <v>44634</v>
      </c>
      <c r="OY18" s="154">
        <f t="shared" si="114"/>
        <v>44635</v>
      </c>
      <c r="OZ18" s="154">
        <f t="shared" si="114"/>
        <v>44636</v>
      </c>
      <c r="PA18" s="154">
        <f t="shared" si="114"/>
        <v>44637</v>
      </c>
      <c r="PB18" s="154">
        <f t="shared" si="114"/>
        <v>44638</v>
      </c>
      <c r="PC18" s="154">
        <f t="shared" si="114"/>
        <v>44639</v>
      </c>
      <c r="PD18" s="154">
        <f t="shared" ref="PD18:RO18" si="115">PD9</f>
        <v>44640</v>
      </c>
      <c r="PE18" s="154">
        <f t="shared" si="115"/>
        <v>44641</v>
      </c>
      <c r="PF18" s="154">
        <f t="shared" si="115"/>
        <v>44642</v>
      </c>
      <c r="PG18" s="154">
        <f t="shared" si="115"/>
        <v>44643</v>
      </c>
      <c r="PH18" s="154">
        <f t="shared" si="115"/>
        <v>44644</v>
      </c>
      <c r="PI18" s="154">
        <f t="shared" si="115"/>
        <v>44645</v>
      </c>
      <c r="PJ18" s="154">
        <f t="shared" si="115"/>
        <v>44646</v>
      </c>
      <c r="PK18" s="154">
        <f t="shared" si="115"/>
        <v>44647</v>
      </c>
      <c r="PL18" s="154">
        <f t="shared" si="115"/>
        <v>44648</v>
      </c>
      <c r="PM18" s="154">
        <f t="shared" si="115"/>
        <v>44649</v>
      </c>
      <c r="PN18" s="154">
        <f t="shared" si="115"/>
        <v>44650</v>
      </c>
      <c r="PO18" s="154">
        <f t="shared" si="115"/>
        <v>44651</v>
      </c>
      <c r="PP18" s="154">
        <f t="shared" si="115"/>
        <v>44652</v>
      </c>
      <c r="PQ18" s="154">
        <f t="shared" si="115"/>
        <v>44653</v>
      </c>
      <c r="PR18" s="154">
        <f t="shared" si="115"/>
        <v>44654</v>
      </c>
      <c r="PS18" s="154">
        <f t="shared" si="115"/>
        <v>44655</v>
      </c>
      <c r="PT18" s="154">
        <f t="shared" si="115"/>
        <v>44656</v>
      </c>
      <c r="PU18" s="154">
        <f t="shared" si="115"/>
        <v>44657</v>
      </c>
      <c r="PV18" s="154">
        <f t="shared" si="115"/>
        <v>44658</v>
      </c>
      <c r="PW18" s="154">
        <f t="shared" si="115"/>
        <v>44659</v>
      </c>
      <c r="PX18" s="154">
        <f t="shared" si="115"/>
        <v>44660</v>
      </c>
      <c r="PY18" s="154">
        <f t="shared" si="115"/>
        <v>44661</v>
      </c>
      <c r="PZ18" s="154">
        <f t="shared" si="115"/>
        <v>44662</v>
      </c>
      <c r="QA18" s="154">
        <f t="shared" si="115"/>
        <v>44663</v>
      </c>
      <c r="QB18" s="154">
        <f t="shared" si="115"/>
        <v>44664</v>
      </c>
      <c r="QC18" s="154">
        <f t="shared" si="115"/>
        <v>44665</v>
      </c>
      <c r="QD18" s="154">
        <f t="shared" si="115"/>
        <v>44666</v>
      </c>
      <c r="QE18" s="154">
        <f t="shared" si="115"/>
        <v>44667</v>
      </c>
      <c r="QF18" s="154">
        <f t="shared" si="115"/>
        <v>44668</v>
      </c>
      <c r="QG18" s="154">
        <f t="shared" si="115"/>
        <v>44669</v>
      </c>
      <c r="QH18" s="154">
        <f t="shared" si="115"/>
        <v>44670</v>
      </c>
      <c r="QI18" s="154">
        <f t="shared" si="115"/>
        <v>44671</v>
      </c>
      <c r="QJ18" s="154">
        <f t="shared" si="115"/>
        <v>44672</v>
      </c>
      <c r="QK18" s="154">
        <f t="shared" si="115"/>
        <v>44673</v>
      </c>
      <c r="QL18" s="154">
        <f t="shared" si="115"/>
        <v>44674</v>
      </c>
      <c r="QM18" s="154">
        <f t="shared" si="115"/>
        <v>44675</v>
      </c>
      <c r="QN18" s="154">
        <f t="shared" si="115"/>
        <v>44676</v>
      </c>
      <c r="QO18" s="154">
        <f t="shared" si="115"/>
        <v>44677</v>
      </c>
      <c r="QP18" s="154">
        <f t="shared" si="115"/>
        <v>44678</v>
      </c>
      <c r="QQ18" s="154">
        <f t="shared" si="115"/>
        <v>44679</v>
      </c>
      <c r="QR18" s="154">
        <f t="shared" si="115"/>
        <v>44680</v>
      </c>
      <c r="QS18" s="154">
        <f t="shared" si="115"/>
        <v>44681</v>
      </c>
      <c r="QT18" s="154">
        <f t="shared" si="115"/>
        <v>44682</v>
      </c>
      <c r="QU18" s="154">
        <f t="shared" si="115"/>
        <v>44683</v>
      </c>
      <c r="QV18" s="154">
        <f t="shared" si="115"/>
        <v>44684</v>
      </c>
      <c r="QW18" s="154">
        <f t="shared" si="115"/>
        <v>44685</v>
      </c>
      <c r="QX18" s="154">
        <f t="shared" si="115"/>
        <v>44686</v>
      </c>
      <c r="QY18" s="154">
        <f t="shared" si="115"/>
        <v>44687</v>
      </c>
      <c r="QZ18" s="154">
        <f t="shared" si="115"/>
        <v>44688</v>
      </c>
      <c r="RA18" s="154">
        <f t="shared" si="115"/>
        <v>44689</v>
      </c>
      <c r="RB18" s="154">
        <f t="shared" si="115"/>
        <v>44690</v>
      </c>
      <c r="RC18" s="154">
        <f t="shared" si="115"/>
        <v>44691</v>
      </c>
      <c r="RD18" s="154">
        <f t="shared" si="115"/>
        <v>44692</v>
      </c>
      <c r="RE18" s="154">
        <f t="shared" si="115"/>
        <v>44693</v>
      </c>
      <c r="RF18" s="154">
        <f t="shared" si="115"/>
        <v>44694</v>
      </c>
      <c r="RG18" s="154">
        <f t="shared" si="115"/>
        <v>44695</v>
      </c>
      <c r="RH18" s="154">
        <f t="shared" si="115"/>
        <v>44696</v>
      </c>
      <c r="RI18" s="154">
        <f t="shared" si="115"/>
        <v>44697</v>
      </c>
      <c r="RJ18" s="154">
        <f t="shared" si="115"/>
        <v>44698</v>
      </c>
      <c r="RK18" s="154">
        <f t="shared" si="115"/>
        <v>44699</v>
      </c>
      <c r="RL18" s="154">
        <f t="shared" si="115"/>
        <v>44700</v>
      </c>
      <c r="RM18" s="154">
        <f t="shared" si="115"/>
        <v>44701</v>
      </c>
      <c r="RN18" s="154">
        <f t="shared" si="115"/>
        <v>44702</v>
      </c>
      <c r="RO18" s="154">
        <f t="shared" si="115"/>
        <v>44703</v>
      </c>
      <c r="RP18" s="154">
        <f t="shared" ref="RP18:UA18" si="116">RP9</f>
        <v>44704</v>
      </c>
      <c r="RQ18" s="154">
        <f t="shared" si="116"/>
        <v>44705</v>
      </c>
      <c r="RR18" s="154">
        <f t="shared" si="116"/>
        <v>44706</v>
      </c>
      <c r="RS18" s="154">
        <f t="shared" si="116"/>
        <v>44707</v>
      </c>
      <c r="RT18" s="154">
        <f t="shared" si="116"/>
        <v>44708</v>
      </c>
      <c r="RU18" s="154">
        <f t="shared" si="116"/>
        <v>44709</v>
      </c>
      <c r="RV18" s="154">
        <f t="shared" si="116"/>
        <v>44710</v>
      </c>
      <c r="RW18" s="154">
        <f t="shared" si="116"/>
        <v>44711</v>
      </c>
      <c r="RX18" s="154">
        <f t="shared" si="116"/>
        <v>44712</v>
      </c>
      <c r="RY18" s="154">
        <f t="shared" si="116"/>
        <v>44713</v>
      </c>
      <c r="RZ18" s="154">
        <f t="shared" si="116"/>
        <v>44714</v>
      </c>
      <c r="SA18" s="154">
        <f t="shared" si="116"/>
        <v>44715</v>
      </c>
      <c r="SB18" s="154">
        <f t="shared" si="116"/>
        <v>44716</v>
      </c>
      <c r="SC18" s="154">
        <f t="shared" si="116"/>
        <v>44717</v>
      </c>
      <c r="SD18" s="154">
        <f t="shared" si="116"/>
        <v>44718</v>
      </c>
      <c r="SE18" s="154">
        <f t="shared" si="116"/>
        <v>44719</v>
      </c>
      <c r="SF18" s="154">
        <f t="shared" si="116"/>
        <v>44720</v>
      </c>
      <c r="SG18" s="154">
        <f t="shared" si="116"/>
        <v>44721</v>
      </c>
      <c r="SH18" s="154">
        <f t="shared" si="116"/>
        <v>44722</v>
      </c>
      <c r="SI18" s="154">
        <f t="shared" si="116"/>
        <v>44723</v>
      </c>
      <c r="SJ18" s="154">
        <f t="shared" si="116"/>
        <v>44724</v>
      </c>
      <c r="SK18" s="154">
        <f t="shared" si="116"/>
        <v>44725</v>
      </c>
      <c r="SL18" s="154">
        <f t="shared" si="116"/>
        <v>44726</v>
      </c>
      <c r="SM18" s="154">
        <f t="shared" si="116"/>
        <v>44727</v>
      </c>
      <c r="SN18" s="154">
        <f t="shared" si="116"/>
        <v>44728</v>
      </c>
      <c r="SO18" s="154">
        <f t="shared" si="116"/>
        <v>44729</v>
      </c>
      <c r="SP18" s="154">
        <f t="shared" si="116"/>
        <v>44730</v>
      </c>
      <c r="SQ18" s="154">
        <f t="shared" si="116"/>
        <v>44731</v>
      </c>
      <c r="SR18" s="154">
        <f t="shared" si="116"/>
        <v>44732</v>
      </c>
      <c r="SS18" s="154">
        <f t="shared" si="116"/>
        <v>44733</v>
      </c>
      <c r="ST18" s="154">
        <f t="shared" si="116"/>
        <v>44734</v>
      </c>
      <c r="SU18" s="154">
        <f t="shared" si="116"/>
        <v>44735</v>
      </c>
      <c r="SV18" s="154">
        <f t="shared" si="116"/>
        <v>44736</v>
      </c>
      <c r="SW18" s="154">
        <f t="shared" si="116"/>
        <v>44737</v>
      </c>
      <c r="SX18" s="154">
        <f t="shared" si="116"/>
        <v>44738</v>
      </c>
      <c r="SY18" s="154">
        <f t="shared" si="116"/>
        <v>44739</v>
      </c>
      <c r="SZ18" s="154">
        <f t="shared" si="116"/>
        <v>44740</v>
      </c>
      <c r="TA18" s="154">
        <f t="shared" si="116"/>
        <v>44741</v>
      </c>
      <c r="TB18" s="154">
        <f t="shared" si="116"/>
        <v>44742</v>
      </c>
      <c r="TC18" s="154">
        <f t="shared" si="116"/>
        <v>44743</v>
      </c>
      <c r="TD18" s="154">
        <f t="shared" si="116"/>
        <v>44744</v>
      </c>
      <c r="TE18" s="154">
        <f t="shared" si="116"/>
        <v>44745</v>
      </c>
      <c r="TF18" s="154">
        <f t="shared" si="116"/>
        <v>44746</v>
      </c>
      <c r="TG18" s="154">
        <f t="shared" si="116"/>
        <v>44747</v>
      </c>
      <c r="TH18" s="154">
        <f t="shared" si="116"/>
        <v>44748</v>
      </c>
      <c r="TI18" s="154">
        <f t="shared" si="116"/>
        <v>44749</v>
      </c>
      <c r="TJ18" s="154">
        <f t="shared" si="116"/>
        <v>44750</v>
      </c>
      <c r="TK18" s="154">
        <f t="shared" si="116"/>
        <v>44751</v>
      </c>
      <c r="TL18" s="154">
        <f t="shared" si="116"/>
        <v>44752</v>
      </c>
      <c r="TM18" s="154">
        <f t="shared" si="116"/>
        <v>44753</v>
      </c>
      <c r="TN18" s="154">
        <f t="shared" si="116"/>
        <v>44754</v>
      </c>
      <c r="TO18" s="154">
        <f t="shared" si="116"/>
        <v>44755</v>
      </c>
      <c r="TP18" s="154">
        <f t="shared" si="116"/>
        <v>44756</v>
      </c>
      <c r="TQ18" s="154">
        <f t="shared" si="116"/>
        <v>44757</v>
      </c>
      <c r="TR18" s="154">
        <f t="shared" si="116"/>
        <v>44758</v>
      </c>
      <c r="TS18" s="154">
        <f t="shared" si="116"/>
        <v>44759</v>
      </c>
      <c r="TT18" s="154">
        <f t="shared" si="116"/>
        <v>44760</v>
      </c>
      <c r="TU18" s="154">
        <f t="shared" si="116"/>
        <v>44761</v>
      </c>
      <c r="TV18" s="154">
        <f t="shared" si="116"/>
        <v>44762</v>
      </c>
      <c r="TW18" s="154">
        <f t="shared" si="116"/>
        <v>44763</v>
      </c>
      <c r="TX18" s="154">
        <f t="shared" si="116"/>
        <v>44764</v>
      </c>
      <c r="TY18" s="154">
        <f t="shared" si="116"/>
        <v>44765</v>
      </c>
      <c r="TZ18" s="154">
        <f t="shared" si="116"/>
        <v>44766</v>
      </c>
      <c r="UA18" s="154">
        <f t="shared" si="116"/>
        <v>44767</v>
      </c>
      <c r="UB18" s="154">
        <f t="shared" ref="UB18:UM18" si="117">UB9</f>
        <v>44768</v>
      </c>
      <c r="UC18" s="154">
        <f t="shared" si="117"/>
        <v>44769</v>
      </c>
      <c r="UD18" s="154">
        <f t="shared" si="117"/>
        <v>44770</v>
      </c>
      <c r="UE18" s="154">
        <f t="shared" si="117"/>
        <v>44771</v>
      </c>
      <c r="UF18" s="154">
        <f t="shared" si="117"/>
        <v>44772</v>
      </c>
      <c r="UG18" s="154">
        <f t="shared" si="117"/>
        <v>44773</v>
      </c>
      <c r="UH18" s="154">
        <f t="shared" si="117"/>
        <v>44774</v>
      </c>
      <c r="UI18" s="154">
        <f t="shared" si="117"/>
        <v>44775</v>
      </c>
      <c r="UJ18" s="154">
        <f t="shared" si="117"/>
        <v>44776</v>
      </c>
      <c r="UK18" s="154">
        <f t="shared" si="117"/>
        <v>44777</v>
      </c>
      <c r="UL18" s="154">
        <f t="shared" si="117"/>
        <v>44778</v>
      </c>
      <c r="UM18" s="154">
        <f t="shared" si="117"/>
        <v>44779</v>
      </c>
    </row>
    <row r="19" spans="1:559" s="133" customFormat="1" ht="15" hidden="1">
      <c r="A19" s="22"/>
      <c r="B19" s="22"/>
      <c r="C19" s="22"/>
      <c r="D19" s="22"/>
      <c r="E19" s="22"/>
      <c r="F19" s="22"/>
      <c r="G19" s="22"/>
      <c r="H19" s="22"/>
      <c r="I19" s="22"/>
      <c r="J19" s="50"/>
      <c r="K19" s="59" t="s">
        <v>472</v>
      </c>
      <c r="L19" s="202"/>
      <c r="M19" s="356" t="s">
        <v>1024</v>
      </c>
      <c r="N19" s="356"/>
      <c r="O19" s="356"/>
      <c r="P19" s="287"/>
      <c r="Q19" s="274"/>
      <c r="R19" s="274">
        <v>1</v>
      </c>
      <c r="S19" s="284">
        <f>MIN(Z20:Z21)</f>
        <v>42682</v>
      </c>
      <c r="T19" s="278">
        <f>Y19-S19+1</f>
        <v>4</v>
      </c>
      <c r="U19" s="272"/>
      <c r="V19" s="288"/>
      <c r="W19" s="203"/>
      <c r="X19" s="178"/>
      <c r="Y19" s="43">
        <f>MAX(AA20:AA21)</f>
        <v>42685</v>
      </c>
      <c r="Z19" s="178"/>
      <c r="AA19" s="178"/>
      <c r="AB19" s="45">
        <f>SUMPRODUCT(AA20:AA21,AB20:AB21)/SUM(AA20:AA21)</f>
        <v>0</v>
      </c>
      <c r="AC19" s="178">
        <f>S19-1+AB19*T19</f>
        <v>42681</v>
      </c>
      <c r="AD19" s="205">
        <f>IF(AB19&lt;&gt;"",IF(AND(AB19&lt;1,AC19&lt;$DC$7),0,1))</f>
        <v>0</v>
      </c>
      <c r="AE19" s="203"/>
      <c r="AF19" s="203"/>
      <c r="AG19" s="203"/>
      <c r="AH19" s="203"/>
      <c r="AI19" s="203"/>
      <c r="AJ19" s="20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c r="GT19" s="6"/>
      <c r="GU19" s="6"/>
      <c r="GV19" s="6"/>
      <c r="GW19" s="6"/>
      <c r="GX19" s="6"/>
      <c r="GY19" s="6"/>
      <c r="GZ19" s="6"/>
      <c r="HA19" s="6"/>
      <c r="HB19" s="6"/>
      <c r="HC19" s="6"/>
      <c r="HD19" s="6"/>
      <c r="HE19" s="6"/>
      <c r="HF19" s="6"/>
      <c r="HG19" s="6"/>
      <c r="HH19" s="6"/>
      <c r="HI19" s="6"/>
      <c r="HJ19" s="6"/>
      <c r="HK19" s="6"/>
      <c r="HL19" s="6"/>
      <c r="HM19" s="6"/>
      <c r="HN19" s="6"/>
      <c r="HO19" s="6"/>
      <c r="HP19" s="6"/>
      <c r="HQ19" s="6"/>
      <c r="HR19" s="6"/>
      <c r="HS19" s="6"/>
      <c r="HT19" s="6"/>
      <c r="HU19" s="6"/>
      <c r="HV19" s="6"/>
      <c r="HW19" s="6"/>
      <c r="HX19" s="6"/>
      <c r="HY19" s="6"/>
      <c r="HZ19" s="6"/>
      <c r="IA19" s="6"/>
      <c r="IB19" s="6"/>
      <c r="IC19" s="6"/>
      <c r="ID19" s="6"/>
      <c r="IE19" s="6"/>
      <c r="IF19" s="6"/>
      <c r="IG19" s="6"/>
      <c r="IH19" s="6"/>
      <c r="II19" s="6"/>
      <c r="IJ19" s="6"/>
      <c r="IK19" s="6"/>
      <c r="IL19" s="6"/>
      <c r="IM19" s="6"/>
      <c r="IN19" s="6"/>
      <c r="IO19" s="6"/>
      <c r="IP19" s="6"/>
      <c r="IQ19" s="6"/>
      <c r="IR19" s="6"/>
      <c r="IS19" s="6"/>
      <c r="IT19" s="6"/>
      <c r="IU19" s="6"/>
      <c r="IV19" s="6"/>
      <c r="IW19" s="6"/>
      <c r="IX19" s="6"/>
      <c r="IY19" s="6"/>
      <c r="IZ19" s="6"/>
      <c r="JA19" s="6"/>
      <c r="JB19" s="6"/>
      <c r="JC19" s="6"/>
      <c r="JD19" s="6"/>
      <c r="JE19" s="6"/>
      <c r="JF19" s="6"/>
      <c r="JG19" s="6"/>
      <c r="JH19" s="6"/>
      <c r="JI19" s="6"/>
      <c r="JJ19" s="6"/>
      <c r="JK19" s="6"/>
      <c r="JL19" s="6"/>
      <c r="JM19" s="6"/>
      <c r="JN19" s="6"/>
      <c r="JO19" s="6"/>
      <c r="JP19" s="6"/>
      <c r="JQ19" s="6"/>
      <c r="JR19" s="6"/>
      <c r="JS19" s="6"/>
      <c r="JT19" s="6"/>
      <c r="JU19" s="6"/>
      <c r="JV19" s="6"/>
      <c r="JW19" s="6"/>
      <c r="JX19" s="6"/>
      <c r="JY19" s="6"/>
      <c r="JZ19" s="6"/>
      <c r="KA19" s="6"/>
      <c r="KB19" s="6"/>
      <c r="KC19" s="6"/>
      <c r="KD19" s="6"/>
      <c r="KE19" s="6"/>
      <c r="KF19" s="6"/>
      <c r="KG19" s="6"/>
      <c r="KH19" s="6"/>
      <c r="KI19" s="6"/>
      <c r="KJ19" s="6"/>
      <c r="KK19" s="6"/>
      <c r="KL19" s="6"/>
      <c r="KM19" s="6"/>
      <c r="KN19" s="6"/>
      <c r="KO19" s="6"/>
      <c r="KP19" s="6"/>
      <c r="KQ19" s="6"/>
      <c r="KR19" s="6"/>
      <c r="KS19" s="6"/>
      <c r="KT19" s="6"/>
      <c r="KU19" s="6"/>
      <c r="KV19" s="6"/>
      <c r="KW19" s="6"/>
      <c r="KX19" s="6"/>
      <c r="KY19" s="6"/>
      <c r="KZ19" s="6"/>
      <c r="LA19" s="6"/>
      <c r="LB19" s="6"/>
      <c r="LC19" s="6"/>
      <c r="LD19" s="6"/>
      <c r="LE19" s="6"/>
      <c r="LF19" s="6"/>
      <c r="LG19" s="6"/>
      <c r="LH19" s="6"/>
      <c r="LI19" s="6"/>
      <c r="LJ19" s="6"/>
      <c r="LK19" s="6"/>
      <c r="LL19" s="6"/>
      <c r="LM19" s="6"/>
      <c r="LN19" s="6"/>
      <c r="LO19" s="6"/>
      <c r="LP19" s="6"/>
      <c r="LQ19" s="6"/>
      <c r="LR19" s="6"/>
      <c r="LS19" s="6"/>
      <c r="LT19" s="6"/>
      <c r="LU19" s="6"/>
      <c r="LV19" s="6"/>
      <c r="LW19" s="6"/>
      <c r="LX19" s="6"/>
      <c r="LY19" s="6"/>
      <c r="LZ19" s="6"/>
      <c r="MA19" s="6"/>
      <c r="MB19" s="6"/>
      <c r="MC19" s="6"/>
      <c r="MD19" s="6"/>
      <c r="ME19" s="6"/>
      <c r="MF19" s="6"/>
      <c r="MG19" s="6"/>
      <c r="MH19" s="6"/>
      <c r="MI19" s="6"/>
      <c r="MJ19" s="6"/>
      <c r="MK19" s="6"/>
      <c r="ML19" s="6"/>
      <c r="MM19" s="6"/>
      <c r="MN19" s="6"/>
      <c r="MO19" s="6"/>
      <c r="MP19" s="6"/>
      <c r="MQ19" s="6"/>
      <c r="MR19" s="6"/>
      <c r="MS19" s="6"/>
      <c r="MT19" s="6"/>
      <c r="MU19" s="6"/>
      <c r="MV19" s="6"/>
      <c r="MW19" s="6"/>
      <c r="MX19" s="6"/>
      <c r="MY19" s="6"/>
      <c r="MZ19" s="6"/>
      <c r="NA19" s="6"/>
      <c r="NB19" s="6"/>
      <c r="NC19" s="6"/>
      <c r="ND19" s="6"/>
      <c r="NE19" s="6"/>
      <c r="NF19" s="6"/>
      <c r="NG19" s="6"/>
      <c r="NH19" s="6"/>
      <c r="NI19" s="6"/>
      <c r="NJ19" s="6"/>
      <c r="NK19" s="6"/>
      <c r="NL19" s="6"/>
      <c r="NM19" s="6"/>
      <c r="NN19" s="6"/>
      <c r="NO19" s="6"/>
      <c r="NP19" s="6"/>
      <c r="NQ19" s="6"/>
      <c r="NR19" s="6"/>
      <c r="NS19" s="6"/>
      <c r="NT19" s="6"/>
      <c r="NU19" s="6"/>
      <c r="NV19" s="6"/>
      <c r="NW19" s="6"/>
      <c r="NX19" s="6"/>
      <c r="NY19" s="6"/>
      <c r="NZ19" s="6"/>
      <c r="OA19" s="6"/>
      <c r="OB19" s="6"/>
      <c r="OC19" s="6"/>
      <c r="OD19" s="6"/>
      <c r="OE19" s="6"/>
      <c r="OF19" s="6"/>
      <c r="OG19" s="6"/>
      <c r="OH19" s="6"/>
      <c r="OI19" s="6"/>
      <c r="OJ19" s="6"/>
      <c r="OK19" s="6"/>
      <c r="OL19" s="6"/>
      <c r="OM19" s="6"/>
      <c r="ON19" s="6"/>
      <c r="OO19" s="6"/>
      <c r="OP19" s="6"/>
      <c r="OQ19" s="6"/>
      <c r="OR19" s="6"/>
      <c r="OS19" s="6"/>
      <c r="OT19" s="6"/>
      <c r="OU19" s="6"/>
      <c r="OV19" s="6"/>
      <c r="OW19" s="6"/>
      <c r="OX19" s="6"/>
      <c r="OY19" s="6"/>
      <c r="OZ19" s="6"/>
      <c r="PA19" s="6"/>
      <c r="PB19" s="6"/>
      <c r="PC19" s="6"/>
      <c r="PD19" s="6"/>
      <c r="PE19" s="6"/>
      <c r="PF19" s="6"/>
      <c r="PG19" s="6"/>
      <c r="PH19" s="6"/>
      <c r="PI19" s="6"/>
      <c r="PJ19" s="6"/>
      <c r="PK19" s="6"/>
      <c r="PL19" s="6"/>
      <c r="PM19" s="6"/>
      <c r="PN19" s="6"/>
      <c r="PO19" s="6"/>
      <c r="PP19" s="6"/>
      <c r="PQ19" s="6"/>
      <c r="PR19" s="6"/>
      <c r="PS19" s="6"/>
      <c r="PT19" s="6"/>
      <c r="PU19" s="6"/>
      <c r="PV19" s="6"/>
      <c r="PW19" s="6"/>
      <c r="PX19" s="6"/>
      <c r="PY19" s="6"/>
      <c r="PZ19" s="6"/>
      <c r="QA19" s="6"/>
      <c r="QB19" s="6"/>
      <c r="QC19" s="6"/>
      <c r="QD19" s="6"/>
      <c r="QE19" s="6"/>
      <c r="QF19" s="6"/>
      <c r="QG19" s="6"/>
      <c r="QH19" s="6"/>
      <c r="QI19" s="6"/>
      <c r="QJ19" s="6"/>
      <c r="QK19" s="6"/>
      <c r="QL19" s="6"/>
      <c r="QM19" s="6"/>
      <c r="QN19" s="6"/>
      <c r="QO19" s="6"/>
      <c r="QP19" s="6"/>
      <c r="QQ19" s="6"/>
      <c r="QR19" s="6"/>
      <c r="QS19" s="6"/>
      <c r="QT19" s="6"/>
      <c r="QU19" s="6"/>
      <c r="QV19" s="6"/>
      <c r="QW19" s="6"/>
      <c r="QX19" s="6"/>
      <c r="QY19" s="6"/>
      <c r="QZ19" s="6"/>
      <c r="RA19" s="6"/>
      <c r="RB19" s="6"/>
      <c r="RC19" s="6"/>
      <c r="RD19" s="6"/>
      <c r="RE19" s="6"/>
      <c r="RF19" s="6"/>
      <c r="RG19" s="6"/>
      <c r="RH19" s="6"/>
      <c r="RI19" s="6"/>
      <c r="RJ19" s="6"/>
      <c r="RK19" s="6"/>
      <c r="RL19" s="6"/>
      <c r="RM19" s="6"/>
      <c r="RN19" s="6"/>
      <c r="RO19" s="6"/>
      <c r="RP19" s="6"/>
      <c r="RQ19" s="6"/>
      <c r="RR19" s="6"/>
      <c r="RS19" s="6"/>
      <c r="RT19" s="6"/>
      <c r="RU19" s="6"/>
      <c r="RV19" s="6"/>
      <c r="RW19" s="6"/>
      <c r="RX19" s="6"/>
      <c r="RY19" s="6"/>
      <c r="RZ19" s="6"/>
      <c r="SA19" s="6"/>
      <c r="SB19" s="6"/>
      <c r="SC19" s="6"/>
      <c r="SD19" s="6"/>
      <c r="SE19" s="6"/>
      <c r="SF19" s="6"/>
      <c r="SG19" s="6"/>
      <c r="SH19" s="6"/>
      <c r="SI19" s="6"/>
      <c r="SJ19" s="6"/>
      <c r="SK19" s="6"/>
      <c r="SL19" s="6"/>
      <c r="SM19" s="6"/>
      <c r="SN19" s="6"/>
      <c r="SO19" s="6"/>
      <c r="SP19" s="6"/>
      <c r="SQ19" s="6"/>
      <c r="SR19" s="6"/>
      <c r="SS19" s="6"/>
      <c r="ST19" s="6"/>
      <c r="SU19" s="6"/>
      <c r="SV19" s="6"/>
      <c r="SW19" s="6"/>
      <c r="SX19" s="6"/>
      <c r="SY19" s="6"/>
      <c r="SZ19" s="6"/>
      <c r="TA19" s="6"/>
      <c r="TB19" s="6"/>
      <c r="TC19" s="6"/>
      <c r="TD19" s="6"/>
      <c r="TE19" s="6"/>
      <c r="TF19" s="6"/>
      <c r="TG19" s="6"/>
      <c r="TH19" s="6"/>
      <c r="TI19" s="6"/>
      <c r="TJ19" s="6"/>
      <c r="TK19" s="6"/>
      <c r="TL19" s="6"/>
      <c r="TM19" s="6"/>
      <c r="TN19" s="6"/>
      <c r="TO19" s="6"/>
      <c r="TP19" s="6"/>
      <c r="TQ19" s="6"/>
      <c r="TR19" s="6"/>
      <c r="TS19" s="6"/>
      <c r="TT19" s="6"/>
      <c r="TU19" s="6"/>
      <c r="TV19" s="6"/>
      <c r="TW19" s="6"/>
      <c r="TX19" s="6"/>
      <c r="TY19" s="6"/>
      <c r="TZ19" s="6"/>
      <c r="UA19" s="6"/>
      <c r="UB19" s="6"/>
      <c r="UC19" s="6"/>
      <c r="UD19" s="6"/>
      <c r="UE19" s="6"/>
      <c r="UF19" s="6"/>
      <c r="UG19" s="6"/>
      <c r="UH19" s="6"/>
      <c r="UI19" s="6"/>
      <c r="UJ19" s="6"/>
      <c r="UK19" s="6"/>
      <c r="UL19" s="6"/>
      <c r="UM19" s="6"/>
    </row>
    <row r="20" spans="1:559" s="133" customFormat="1" ht="11.25" hidden="1" customHeight="1">
      <c r="A20" s="50"/>
      <c r="B20" s="10"/>
      <c r="C20" s="10"/>
      <c r="D20" s="50"/>
      <c r="E20" s="50"/>
      <c r="F20" s="50"/>
      <c r="G20" s="50"/>
      <c r="H20" s="50"/>
      <c r="I20" s="50"/>
      <c r="J20" s="50"/>
      <c r="K20" s="277" t="s">
        <v>473</v>
      </c>
      <c r="L20" s="46"/>
      <c r="M20" s="357" t="s">
        <v>1025</v>
      </c>
      <c r="N20" s="357"/>
      <c r="O20" s="357"/>
      <c r="P20" s="8" t="s">
        <v>1</v>
      </c>
      <c r="Q20" s="275" t="str">
        <f>IF(ISERROR(VLOOKUP(P20,Tools!$D$11:$J$57,7,FALSE)),"",VLOOKUP(P20,Tools!$D$11:$J$57,7,FALSE))</f>
        <v/>
      </c>
      <c r="R20" s="275">
        <v>2</v>
      </c>
      <c r="S20" s="216">
        <v>42683</v>
      </c>
      <c r="T20" s="8">
        <v>2</v>
      </c>
      <c r="U20" s="8" t="s">
        <v>998</v>
      </c>
      <c r="V20" s="275">
        <f>IF(U20=dur_type_d,T20,IF(U20=dur_type_w,IF(Work_D_Only_Bool,T20*5,T20*7),IF(U20=dur_type_m,IF(Work_D_Only_Bool,NETWORKDAYS.INTL(S20,DATE(YEAR(S20),MONTH(S20)+T20,DAY(S20)-1),WE_Days,Holiday_Days),DATE(YEAR(S20),MONTH(S20)+T20,DAY(S20))-S20),"ERROR")))</f>
        <v>2</v>
      </c>
      <c r="W20" s="49"/>
      <c r="X20" s="179">
        <f>IF(V20&gt;0,S20+V20-1,S20+V20+1)</f>
        <v>42684</v>
      </c>
      <c r="Y20" s="47">
        <f>IF(S20&lt;&gt;"",IF($GE$7,W20,X20),"")</f>
        <v>42684</v>
      </c>
      <c r="Z20" s="179">
        <f>IF(T20&gt;0,S20,Y20)</f>
        <v>42683</v>
      </c>
      <c r="AA20" s="179">
        <f>IF(T20&gt;0,Y20,S20)</f>
        <v>42684</v>
      </c>
      <c r="AB20" s="48">
        <v>0</v>
      </c>
      <c r="AC20" s="179">
        <f>INT(Z20+AB20*(AA20-Z20))</f>
        <v>42683</v>
      </c>
      <c r="AD20" s="204">
        <f>IF(AND(AB20&lt;1,AC20&lt;$DC$7),0,1)</f>
        <v>0</v>
      </c>
      <c r="AE20" s="49"/>
      <c r="AF20" s="49"/>
      <c r="AG20" s="49"/>
      <c r="AH20" s="49"/>
      <c r="AI20" s="49"/>
      <c r="AJ20" s="224"/>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C20" s="9"/>
      <c r="JD20" s="9"/>
      <c r="JE20" s="9"/>
      <c r="JF20" s="9"/>
      <c r="JG20" s="9"/>
      <c r="JH20" s="9"/>
      <c r="JI20" s="9"/>
      <c r="JJ20" s="9"/>
      <c r="JK20" s="9"/>
      <c r="JL20" s="9"/>
      <c r="JM20" s="9"/>
      <c r="JN20" s="9"/>
      <c r="JO20" s="9"/>
      <c r="JP20" s="9"/>
      <c r="JQ20" s="9"/>
      <c r="JR20" s="9"/>
      <c r="JS20" s="9"/>
      <c r="JT20" s="9"/>
      <c r="JU20" s="9"/>
      <c r="JV20" s="9"/>
      <c r="JW20" s="9"/>
      <c r="JX20" s="9"/>
      <c r="JY20" s="9"/>
      <c r="JZ20" s="9"/>
      <c r="KA20" s="9"/>
      <c r="KB20" s="9"/>
      <c r="KC20" s="9"/>
      <c r="KD20" s="9"/>
      <c r="KE20" s="9"/>
      <c r="KF20" s="9"/>
      <c r="KG20" s="9"/>
      <c r="KH20" s="9"/>
      <c r="KI20" s="9"/>
      <c r="KJ20" s="9"/>
      <c r="KK20" s="9"/>
      <c r="KL20" s="9"/>
      <c r="KM20" s="9"/>
      <c r="KN20" s="9"/>
      <c r="KO20" s="9"/>
      <c r="KP20" s="9"/>
      <c r="KQ20" s="9"/>
      <c r="KR20" s="9"/>
      <c r="KS20" s="9"/>
      <c r="KT20" s="9"/>
      <c r="KU20" s="9"/>
      <c r="KV20" s="9"/>
      <c r="KW20" s="9"/>
      <c r="KX20" s="9"/>
      <c r="KY20" s="9"/>
      <c r="KZ20" s="9"/>
      <c r="LA20" s="9"/>
      <c r="LB20" s="9"/>
      <c r="LC20" s="9"/>
      <c r="LD20" s="9"/>
      <c r="LE20" s="9"/>
      <c r="LF20" s="9"/>
      <c r="LG20" s="9"/>
      <c r="LH20" s="9"/>
      <c r="LI20" s="9"/>
      <c r="LJ20" s="9"/>
      <c r="LK20" s="9"/>
      <c r="LL20" s="9"/>
      <c r="LM20" s="9"/>
      <c r="LN20" s="9"/>
      <c r="LO20" s="9"/>
      <c r="LP20" s="9"/>
      <c r="LQ20" s="9"/>
      <c r="LR20" s="9"/>
      <c r="LS20" s="9"/>
      <c r="LT20" s="9"/>
      <c r="LU20" s="9"/>
      <c r="LV20" s="9"/>
      <c r="LW20" s="9"/>
      <c r="LX20" s="9"/>
      <c r="LY20" s="9"/>
      <c r="LZ20" s="9"/>
      <c r="MA20" s="9"/>
      <c r="MB20" s="9"/>
      <c r="MC20" s="9"/>
      <c r="MD20" s="9"/>
      <c r="ME20" s="9"/>
      <c r="MF20" s="9"/>
      <c r="MG20" s="9"/>
      <c r="MH20" s="9"/>
      <c r="MI20" s="9"/>
      <c r="MJ20" s="9"/>
      <c r="MK20" s="9"/>
      <c r="ML20" s="9"/>
      <c r="MM20" s="9"/>
      <c r="MN20" s="9"/>
      <c r="MO20" s="9"/>
      <c r="MP20" s="9"/>
      <c r="MQ20" s="9"/>
      <c r="MR20" s="9"/>
      <c r="MS20" s="9"/>
      <c r="MT20" s="9"/>
      <c r="MU20" s="9"/>
      <c r="MV20" s="9"/>
      <c r="MW20" s="9"/>
      <c r="MX20" s="9"/>
      <c r="MY20" s="9"/>
      <c r="MZ20" s="9"/>
      <c r="NA20" s="9"/>
      <c r="NB20" s="9"/>
      <c r="NC20" s="9"/>
      <c r="ND20" s="9"/>
      <c r="NE20" s="9"/>
      <c r="NF20" s="9"/>
      <c r="NG20" s="9"/>
      <c r="NH20" s="9"/>
      <c r="NI20" s="9"/>
      <c r="NJ20" s="9"/>
      <c r="NK20" s="9"/>
      <c r="NL20" s="9"/>
      <c r="NM20" s="9"/>
      <c r="NN20" s="9"/>
      <c r="NO20" s="9"/>
      <c r="NP20" s="9"/>
      <c r="NQ20" s="9"/>
      <c r="NR20" s="9"/>
      <c r="NS20" s="9"/>
      <c r="NT20" s="9"/>
      <c r="NU20" s="9"/>
      <c r="NV20" s="9"/>
      <c r="NW20" s="9"/>
      <c r="NX20" s="9"/>
      <c r="NY20" s="9"/>
      <c r="NZ20" s="9"/>
      <c r="OA20" s="9"/>
      <c r="OB20" s="9"/>
      <c r="OC20" s="9"/>
      <c r="OD20" s="9"/>
      <c r="OE20" s="9"/>
      <c r="OF20" s="9"/>
      <c r="OG20" s="9"/>
      <c r="OH20" s="9"/>
      <c r="OI20" s="9"/>
      <c r="OJ20" s="9"/>
      <c r="OK20" s="9"/>
      <c r="OL20" s="9"/>
      <c r="OM20" s="9"/>
      <c r="ON20" s="9"/>
      <c r="OO20" s="9"/>
      <c r="OP20" s="9"/>
      <c r="OQ20" s="9"/>
      <c r="OR20" s="9"/>
      <c r="OS20" s="9"/>
      <c r="OT20" s="9"/>
      <c r="OU20" s="9"/>
      <c r="OV20" s="9"/>
      <c r="OW20" s="9"/>
      <c r="OX20" s="9"/>
      <c r="OY20" s="9"/>
      <c r="OZ20" s="9"/>
      <c r="PA20" s="9"/>
      <c r="PB20" s="9"/>
      <c r="PC20" s="9"/>
      <c r="PD20" s="9"/>
      <c r="PE20" s="9"/>
      <c r="PF20" s="9"/>
      <c r="PG20" s="9"/>
      <c r="PH20" s="9"/>
      <c r="PI20" s="9"/>
      <c r="PJ20" s="9"/>
      <c r="PK20" s="9"/>
      <c r="PL20" s="9"/>
      <c r="PM20" s="9"/>
      <c r="PN20" s="9"/>
      <c r="PO20" s="9"/>
      <c r="PP20" s="9"/>
      <c r="PQ20" s="9"/>
      <c r="PR20" s="9"/>
      <c r="PS20" s="9"/>
      <c r="PT20" s="9"/>
      <c r="PU20" s="9"/>
      <c r="PV20" s="9"/>
      <c r="PW20" s="9"/>
      <c r="PX20" s="9"/>
      <c r="PY20" s="9"/>
      <c r="PZ20" s="9"/>
      <c r="QA20" s="9"/>
      <c r="QB20" s="9"/>
      <c r="QC20" s="9"/>
      <c r="QD20" s="9"/>
      <c r="QE20" s="9"/>
      <c r="QF20" s="9"/>
      <c r="QG20" s="9"/>
      <c r="QH20" s="9"/>
      <c r="QI20" s="9"/>
      <c r="QJ20" s="9"/>
      <c r="QK20" s="9"/>
      <c r="QL20" s="9"/>
      <c r="QM20" s="9"/>
      <c r="QN20" s="9"/>
      <c r="QO20" s="9"/>
      <c r="QP20" s="9"/>
      <c r="QQ20" s="9"/>
      <c r="QR20" s="9"/>
      <c r="QS20" s="9"/>
      <c r="QT20" s="9"/>
      <c r="QU20" s="9"/>
      <c r="QV20" s="9"/>
      <c r="QW20" s="9"/>
      <c r="QX20" s="9"/>
      <c r="QY20" s="9"/>
      <c r="QZ20" s="9"/>
      <c r="RA20" s="9"/>
      <c r="RB20" s="9"/>
      <c r="RC20" s="9"/>
      <c r="RD20" s="9"/>
      <c r="RE20" s="9"/>
      <c r="RF20" s="9"/>
      <c r="RG20" s="9"/>
      <c r="RH20" s="9"/>
      <c r="RI20" s="9"/>
      <c r="RJ20" s="9"/>
      <c r="RK20" s="9"/>
      <c r="RL20" s="9"/>
      <c r="RM20" s="9"/>
      <c r="RN20" s="9"/>
      <c r="RO20" s="9"/>
      <c r="RP20" s="9"/>
      <c r="RQ20" s="9"/>
      <c r="RR20" s="9"/>
      <c r="RS20" s="9"/>
      <c r="RT20" s="9"/>
      <c r="RU20" s="9"/>
      <c r="RV20" s="9"/>
      <c r="RW20" s="9"/>
      <c r="RX20" s="9"/>
      <c r="RY20" s="9"/>
      <c r="RZ20" s="9"/>
      <c r="SA20" s="9"/>
      <c r="SB20" s="9"/>
      <c r="SC20" s="9"/>
      <c r="SD20" s="9"/>
      <c r="SE20" s="9"/>
      <c r="SF20" s="9"/>
      <c r="SG20" s="9"/>
      <c r="SH20" s="9"/>
      <c r="SI20" s="9"/>
      <c r="SJ20" s="9"/>
      <c r="SK20" s="9"/>
      <c r="SL20" s="9"/>
      <c r="SM20" s="9"/>
      <c r="SN20" s="9"/>
      <c r="SO20" s="9"/>
      <c r="SP20" s="9"/>
      <c r="SQ20" s="9"/>
      <c r="SR20" s="9"/>
      <c r="SS20" s="9"/>
      <c r="ST20" s="9"/>
      <c r="SU20" s="9"/>
      <c r="SV20" s="9"/>
      <c r="SW20" s="9"/>
      <c r="SX20" s="9"/>
      <c r="SY20" s="9"/>
      <c r="SZ20" s="9"/>
      <c r="TA20" s="9"/>
      <c r="TB20" s="9"/>
      <c r="TC20" s="9"/>
      <c r="TD20" s="9"/>
      <c r="TE20" s="9"/>
      <c r="TF20" s="9"/>
      <c r="TG20" s="9"/>
      <c r="TH20" s="9"/>
      <c r="TI20" s="9"/>
      <c r="TJ20" s="9"/>
      <c r="TK20" s="9"/>
      <c r="TL20" s="9"/>
      <c r="TM20" s="9"/>
      <c r="TN20" s="9"/>
      <c r="TO20" s="9"/>
      <c r="TP20" s="9"/>
      <c r="TQ20" s="9"/>
      <c r="TR20" s="9"/>
      <c r="TS20" s="9"/>
      <c r="TT20" s="9"/>
      <c r="TU20" s="9"/>
      <c r="TV20" s="9"/>
      <c r="TW20" s="9"/>
      <c r="TX20" s="9"/>
      <c r="TY20" s="9"/>
      <c r="TZ20" s="9"/>
      <c r="UA20" s="9"/>
      <c r="UB20" s="9"/>
      <c r="UC20" s="9"/>
      <c r="UD20" s="9"/>
      <c r="UE20" s="9"/>
      <c r="UF20" s="9"/>
      <c r="UG20" s="9"/>
      <c r="UH20" s="9"/>
      <c r="UI20" s="9"/>
      <c r="UJ20" s="9"/>
      <c r="UK20" s="9"/>
      <c r="UL20" s="9"/>
      <c r="UM20" s="9"/>
    </row>
    <row r="21" spans="1:559" s="133" customFormat="1" ht="11.25" hidden="1" customHeight="1">
      <c r="A21" s="50"/>
      <c r="B21" s="50"/>
      <c r="C21" s="50"/>
      <c r="D21" s="50"/>
      <c r="E21" s="50"/>
      <c r="F21" s="50"/>
      <c r="G21" s="50"/>
      <c r="H21" s="50"/>
      <c r="I21" s="50"/>
      <c r="J21" s="50"/>
      <c r="K21" s="276" t="s">
        <v>474</v>
      </c>
      <c r="L21" s="46"/>
      <c r="M21" s="358" t="s">
        <v>1025</v>
      </c>
      <c r="N21" s="358"/>
      <c r="O21" s="358"/>
      <c r="P21" s="8" t="s">
        <v>2</v>
      </c>
      <c r="Q21" s="275" t="str">
        <f>IF(ISERROR(VLOOKUP(P21,Tools!$D$11:$J$57,7,FALSE)),"",VLOOKUP(P21,Tools!$D$11:$J$57,7,FALSE))</f>
        <v/>
      </c>
      <c r="R21" s="275">
        <v>2</v>
      </c>
      <c r="S21" s="216">
        <f>$Y20+1</f>
        <v>42685</v>
      </c>
      <c r="T21" s="8">
        <v>-4</v>
      </c>
      <c r="U21" s="8" t="s">
        <v>998</v>
      </c>
      <c r="V21" s="275">
        <f>IF(U21=dur_type_d,T21,IF(U21=dur_type_w,IF(Work_D_Only_Bool,T21*5,T21*7),IF(U21=dur_type_m,IF(Work_D_Only_Bool,NETWORKDAYS.INTL(S21,DATE(YEAR(S21),MONTH(S21)+T21,DAY(S21)-1),WE_Days,Holiday_Days),DATE(YEAR(S21),MONTH(S21)+T21,DAY(S21))-S21),"ERROR")))</f>
        <v>-4</v>
      </c>
      <c r="W21" s="49"/>
      <c r="X21" s="179">
        <f>IF(V21&gt;0,S21+V21-1,S21+V21+1)</f>
        <v>42682</v>
      </c>
      <c r="Y21" s="47">
        <f>IF(S21&lt;&gt;"",IF($GE$7,W21,X21),"")</f>
        <v>42682</v>
      </c>
      <c r="Z21" s="179">
        <f>IF(T21&gt;0,S21,Y21)</f>
        <v>42682</v>
      </c>
      <c r="AA21" s="179">
        <f>IF(T21&gt;0,Y21,S21)</f>
        <v>42685</v>
      </c>
      <c r="AB21" s="48">
        <v>0</v>
      </c>
      <c r="AC21" s="179">
        <f>INT(Z21+AB21*(AA21-Z21))</f>
        <v>42682</v>
      </c>
      <c r="AD21" s="204">
        <f>IF(AND(AB21&lt;1,AC21&lt;$DC$7),0,1)</f>
        <v>0</v>
      </c>
      <c r="AE21" s="49"/>
      <c r="AF21" s="49"/>
      <c r="AG21" s="49"/>
      <c r="AH21" s="49"/>
      <c r="AI21" s="49"/>
      <c r="AJ21" s="224"/>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C21" s="9"/>
      <c r="JD21" s="9"/>
      <c r="JE21" s="9"/>
      <c r="JF21" s="9"/>
      <c r="JG21" s="9"/>
      <c r="JH21" s="9"/>
      <c r="JI21" s="9"/>
      <c r="JJ21" s="9"/>
      <c r="JK21" s="9"/>
      <c r="JL21" s="9"/>
      <c r="JM21" s="9"/>
      <c r="JN21" s="9"/>
      <c r="JO21" s="9"/>
      <c r="JP21" s="9"/>
      <c r="JQ21" s="9"/>
      <c r="JR21" s="9"/>
      <c r="JS21" s="9"/>
      <c r="JT21" s="9"/>
      <c r="JU21" s="9"/>
      <c r="JV21" s="9"/>
      <c r="JW21" s="9"/>
      <c r="JX21" s="9"/>
      <c r="JY21" s="9"/>
      <c r="JZ21" s="9"/>
      <c r="KA21" s="9"/>
      <c r="KB21" s="9"/>
      <c r="KC21" s="9"/>
      <c r="KD21" s="9"/>
      <c r="KE21" s="9"/>
      <c r="KF21" s="9"/>
      <c r="KG21" s="9"/>
      <c r="KH21" s="9"/>
      <c r="KI21" s="9"/>
      <c r="KJ21" s="9"/>
      <c r="KK21" s="9"/>
      <c r="KL21" s="9"/>
      <c r="KM21" s="9"/>
      <c r="KN21" s="9"/>
      <c r="KO21" s="9"/>
      <c r="KP21" s="9"/>
      <c r="KQ21" s="9"/>
      <c r="KR21" s="9"/>
      <c r="KS21" s="9"/>
      <c r="KT21" s="9"/>
      <c r="KU21" s="9"/>
      <c r="KV21" s="9"/>
      <c r="KW21" s="9"/>
      <c r="KX21" s="9"/>
      <c r="KY21" s="9"/>
      <c r="KZ21" s="9"/>
      <c r="LA21" s="9"/>
      <c r="LB21" s="9"/>
      <c r="LC21" s="9"/>
      <c r="LD21" s="9"/>
      <c r="LE21" s="9"/>
      <c r="LF21" s="9"/>
      <c r="LG21" s="9"/>
      <c r="LH21" s="9"/>
      <c r="LI21" s="9"/>
      <c r="LJ21" s="9"/>
      <c r="LK21" s="9"/>
      <c r="LL21" s="9"/>
      <c r="LM21" s="9"/>
      <c r="LN21" s="9"/>
      <c r="LO21" s="9"/>
      <c r="LP21" s="9"/>
      <c r="LQ21" s="9"/>
      <c r="LR21" s="9"/>
      <c r="LS21" s="9"/>
      <c r="LT21" s="9"/>
      <c r="LU21" s="9"/>
      <c r="LV21" s="9"/>
      <c r="LW21" s="9"/>
      <c r="LX21" s="9"/>
      <c r="LY21" s="9"/>
      <c r="LZ21" s="9"/>
      <c r="MA21" s="9"/>
      <c r="MB21" s="9"/>
      <c r="MC21" s="9"/>
      <c r="MD21" s="9"/>
      <c r="ME21" s="9"/>
      <c r="MF21" s="9"/>
      <c r="MG21" s="9"/>
      <c r="MH21" s="9"/>
      <c r="MI21" s="9"/>
      <c r="MJ21" s="9"/>
      <c r="MK21" s="9"/>
      <c r="ML21" s="9"/>
      <c r="MM21" s="9"/>
      <c r="MN21" s="9"/>
      <c r="MO21" s="9"/>
      <c r="MP21" s="9"/>
      <c r="MQ21" s="9"/>
      <c r="MR21" s="9"/>
      <c r="MS21" s="9"/>
      <c r="MT21" s="9"/>
      <c r="MU21" s="9"/>
      <c r="MV21" s="9"/>
      <c r="MW21" s="9"/>
      <c r="MX21" s="9"/>
      <c r="MY21" s="9"/>
      <c r="MZ21" s="9"/>
      <c r="NA21" s="9"/>
      <c r="NB21" s="9"/>
      <c r="NC21" s="9"/>
      <c r="ND21" s="9"/>
      <c r="NE21" s="9"/>
      <c r="NF21" s="9"/>
      <c r="NG21" s="9"/>
      <c r="NH21" s="9"/>
      <c r="NI21" s="9"/>
      <c r="NJ21" s="9"/>
      <c r="NK21" s="9"/>
      <c r="NL21" s="9"/>
      <c r="NM21" s="9"/>
      <c r="NN21" s="9"/>
      <c r="NO21" s="9"/>
      <c r="NP21" s="9"/>
      <c r="NQ21" s="9"/>
      <c r="NR21" s="9"/>
      <c r="NS21" s="9"/>
      <c r="NT21" s="9"/>
      <c r="NU21" s="9"/>
      <c r="NV21" s="9"/>
      <c r="NW21" s="9"/>
      <c r="NX21" s="9"/>
      <c r="NY21" s="9"/>
      <c r="NZ21" s="9"/>
      <c r="OA21" s="9"/>
      <c r="OB21" s="9"/>
      <c r="OC21" s="9"/>
      <c r="OD21" s="9"/>
      <c r="OE21" s="9"/>
      <c r="OF21" s="9"/>
      <c r="OG21" s="9"/>
      <c r="OH21" s="9"/>
      <c r="OI21" s="9"/>
      <c r="OJ21" s="9"/>
      <c r="OK21" s="9"/>
      <c r="OL21" s="9"/>
      <c r="OM21" s="9"/>
      <c r="ON21" s="9"/>
      <c r="OO21" s="9"/>
      <c r="OP21" s="9"/>
      <c r="OQ21" s="9"/>
      <c r="OR21" s="9"/>
      <c r="OS21" s="9"/>
      <c r="OT21" s="9"/>
      <c r="OU21" s="9"/>
      <c r="OV21" s="9"/>
      <c r="OW21" s="9"/>
      <c r="OX21" s="9"/>
      <c r="OY21" s="9"/>
      <c r="OZ21" s="9"/>
      <c r="PA21" s="9"/>
      <c r="PB21" s="9"/>
      <c r="PC21" s="9"/>
      <c r="PD21" s="9"/>
      <c r="PE21" s="9"/>
      <c r="PF21" s="9"/>
      <c r="PG21" s="9"/>
      <c r="PH21" s="9"/>
      <c r="PI21" s="9"/>
      <c r="PJ21" s="9"/>
      <c r="PK21" s="9"/>
      <c r="PL21" s="9"/>
      <c r="PM21" s="9"/>
      <c r="PN21" s="9"/>
      <c r="PO21" s="9"/>
      <c r="PP21" s="9"/>
      <c r="PQ21" s="9"/>
      <c r="PR21" s="9"/>
      <c r="PS21" s="9"/>
      <c r="PT21" s="9"/>
      <c r="PU21" s="9"/>
      <c r="PV21" s="9"/>
      <c r="PW21" s="9"/>
      <c r="PX21" s="9"/>
      <c r="PY21" s="9"/>
      <c r="PZ21" s="9"/>
      <c r="QA21" s="9"/>
      <c r="QB21" s="9"/>
      <c r="QC21" s="9"/>
      <c r="QD21" s="9"/>
      <c r="QE21" s="9"/>
      <c r="QF21" s="9"/>
      <c r="QG21" s="9"/>
      <c r="QH21" s="9"/>
      <c r="QI21" s="9"/>
      <c r="QJ21" s="9"/>
      <c r="QK21" s="9"/>
      <c r="QL21" s="9"/>
      <c r="QM21" s="9"/>
      <c r="QN21" s="9"/>
      <c r="QO21" s="9"/>
      <c r="QP21" s="9"/>
      <c r="QQ21" s="9"/>
      <c r="QR21" s="9"/>
      <c r="QS21" s="9"/>
      <c r="QT21" s="9"/>
      <c r="QU21" s="9"/>
      <c r="QV21" s="9"/>
      <c r="QW21" s="9"/>
      <c r="QX21" s="9"/>
      <c r="QY21" s="9"/>
      <c r="QZ21" s="9"/>
      <c r="RA21" s="9"/>
      <c r="RB21" s="9"/>
      <c r="RC21" s="9"/>
      <c r="RD21" s="9"/>
      <c r="RE21" s="9"/>
      <c r="RF21" s="9"/>
      <c r="RG21" s="9"/>
      <c r="RH21" s="9"/>
      <c r="RI21" s="9"/>
      <c r="RJ21" s="9"/>
      <c r="RK21" s="9"/>
      <c r="RL21" s="9"/>
      <c r="RM21" s="9"/>
      <c r="RN21" s="9"/>
      <c r="RO21" s="9"/>
      <c r="RP21" s="9"/>
      <c r="RQ21" s="9"/>
      <c r="RR21" s="9"/>
      <c r="RS21" s="9"/>
      <c r="RT21" s="9"/>
      <c r="RU21" s="9"/>
      <c r="RV21" s="9"/>
      <c r="RW21" s="9"/>
      <c r="RX21" s="9"/>
      <c r="RY21" s="9"/>
      <c r="RZ21" s="9"/>
      <c r="SA21" s="9"/>
      <c r="SB21" s="9"/>
      <c r="SC21" s="9"/>
      <c r="SD21" s="9"/>
      <c r="SE21" s="9"/>
      <c r="SF21" s="9"/>
      <c r="SG21" s="9"/>
      <c r="SH21" s="9"/>
      <c r="SI21" s="9"/>
      <c r="SJ21" s="9"/>
      <c r="SK21" s="9"/>
      <c r="SL21" s="9"/>
      <c r="SM21" s="9"/>
      <c r="SN21" s="9"/>
      <c r="SO21" s="9"/>
      <c r="SP21" s="9"/>
      <c r="SQ21" s="9"/>
      <c r="SR21" s="9"/>
      <c r="SS21" s="9"/>
      <c r="ST21" s="9"/>
      <c r="SU21" s="9"/>
      <c r="SV21" s="9"/>
      <c r="SW21" s="9"/>
      <c r="SX21" s="9"/>
      <c r="SY21" s="9"/>
      <c r="SZ21" s="9"/>
      <c r="TA21" s="9"/>
      <c r="TB21" s="9"/>
      <c r="TC21" s="9"/>
      <c r="TD21" s="9"/>
      <c r="TE21" s="9"/>
      <c r="TF21" s="9"/>
      <c r="TG21" s="9"/>
      <c r="TH21" s="9"/>
      <c r="TI21" s="9"/>
      <c r="TJ21" s="9"/>
      <c r="TK21" s="9"/>
      <c r="TL21" s="9"/>
      <c r="TM21" s="9"/>
      <c r="TN21" s="9"/>
      <c r="TO21" s="9"/>
      <c r="TP21" s="9"/>
      <c r="TQ21" s="9"/>
      <c r="TR21" s="9"/>
      <c r="TS21" s="9"/>
      <c r="TT21" s="9"/>
      <c r="TU21" s="9"/>
      <c r="TV21" s="9"/>
      <c r="TW21" s="9"/>
      <c r="TX21" s="9"/>
      <c r="TY21" s="9"/>
      <c r="TZ21" s="9"/>
      <c r="UA21" s="9"/>
      <c r="UB21" s="9"/>
      <c r="UC21" s="9"/>
      <c r="UD21" s="9"/>
      <c r="UE21" s="9"/>
      <c r="UF21" s="9"/>
      <c r="UG21" s="9"/>
      <c r="UH21" s="9"/>
      <c r="UI21" s="9"/>
      <c r="UJ21" s="9"/>
      <c r="UK21" s="9"/>
      <c r="UL21" s="9"/>
      <c r="UM21" s="9"/>
    </row>
    <row r="22" spans="1:559" s="133" customFormat="1" ht="15" hidden="1">
      <c r="A22" s="50"/>
      <c r="B22" s="50"/>
      <c r="C22" s="50"/>
      <c r="D22" s="50"/>
      <c r="E22" s="50"/>
      <c r="F22" s="50"/>
      <c r="G22" s="50"/>
      <c r="H22" s="50"/>
      <c r="I22" s="50"/>
      <c r="J22" s="50"/>
      <c r="K22" s="285" t="s">
        <v>1035</v>
      </c>
      <c r="L22" s="46"/>
      <c r="M22" s="359" t="s">
        <v>1037</v>
      </c>
      <c r="N22" s="359"/>
      <c r="O22" s="359"/>
      <c r="P22" s="279"/>
      <c r="Q22" s="280"/>
      <c r="R22" s="280">
        <v>0</v>
      </c>
      <c r="S22" s="216">
        <v>42687</v>
      </c>
      <c r="T22" s="8"/>
      <c r="U22" s="8"/>
      <c r="V22" s="280"/>
      <c r="W22" s="49"/>
      <c r="X22" s="282"/>
      <c r="Y22" s="281"/>
      <c r="Z22" s="282"/>
      <c r="AA22" s="282"/>
      <c r="AB22" s="283"/>
      <c r="AC22" s="282"/>
      <c r="AD22" s="204"/>
      <c r="AE22" s="49"/>
      <c r="AF22" s="49"/>
      <c r="AG22" s="49"/>
      <c r="AH22" s="49"/>
      <c r="AI22" s="49"/>
      <c r="AJ22" s="224"/>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B22" s="9"/>
      <c r="JC22" s="9"/>
      <c r="JD22" s="9"/>
      <c r="JE22" s="9"/>
      <c r="JF22" s="9"/>
      <c r="JG22" s="9"/>
      <c r="JH22" s="9"/>
      <c r="JI22" s="9"/>
      <c r="JJ22" s="9"/>
      <c r="JK22" s="9"/>
      <c r="JL22" s="9"/>
      <c r="JM22" s="9"/>
      <c r="JN22" s="9"/>
      <c r="JO22" s="9"/>
      <c r="JP22" s="9"/>
      <c r="JQ22" s="9"/>
      <c r="JR22" s="9"/>
      <c r="JS22" s="9"/>
      <c r="JT22" s="9"/>
      <c r="JU22" s="9"/>
      <c r="JV22" s="9"/>
      <c r="JW22" s="9"/>
      <c r="JX22" s="9"/>
      <c r="JY22" s="9"/>
      <c r="JZ22" s="9"/>
      <c r="KA22" s="9"/>
      <c r="KB22" s="9"/>
      <c r="KC22" s="9"/>
      <c r="KD22" s="9"/>
      <c r="KE22" s="9"/>
      <c r="KF22" s="9"/>
      <c r="KG22" s="9"/>
      <c r="KH22" s="9"/>
      <c r="KI22" s="9"/>
      <c r="KJ22" s="9"/>
      <c r="KK22" s="9"/>
      <c r="KL22" s="9"/>
      <c r="KM22" s="9"/>
      <c r="KN22" s="9"/>
      <c r="KO22" s="9"/>
      <c r="KP22" s="9"/>
      <c r="KQ22" s="9"/>
      <c r="KR22" s="9"/>
      <c r="KS22" s="9"/>
      <c r="KT22" s="9"/>
      <c r="KU22" s="9"/>
      <c r="KV22" s="9"/>
      <c r="KW22" s="9"/>
      <c r="KX22" s="9"/>
      <c r="KY22" s="9"/>
      <c r="KZ22" s="9"/>
      <c r="LA22" s="9"/>
      <c r="LB22" s="9"/>
      <c r="LC22" s="9"/>
      <c r="LD22" s="9"/>
      <c r="LE22" s="9"/>
      <c r="LF22" s="9"/>
      <c r="LG22" s="9"/>
      <c r="LH22" s="9"/>
      <c r="LI22" s="9"/>
      <c r="LJ22" s="9"/>
      <c r="LK22" s="9"/>
      <c r="LL22" s="9"/>
      <c r="LM22" s="9"/>
      <c r="LN22" s="9"/>
      <c r="LO22" s="9"/>
      <c r="LP22" s="9"/>
      <c r="LQ22" s="9"/>
      <c r="LR22" s="9"/>
      <c r="LS22" s="9"/>
      <c r="LT22" s="9"/>
      <c r="LU22" s="9"/>
      <c r="LV22" s="9"/>
      <c r="LW22" s="9"/>
      <c r="LX22" s="9"/>
      <c r="LY22" s="9"/>
      <c r="LZ22" s="9"/>
      <c r="MA22" s="9"/>
      <c r="MB22" s="9"/>
      <c r="MC22" s="9"/>
      <c r="MD22" s="9"/>
      <c r="ME22" s="9"/>
      <c r="MF22" s="9"/>
      <c r="MG22" s="9"/>
      <c r="MH22" s="9"/>
      <c r="MI22" s="9"/>
      <c r="MJ22" s="9"/>
      <c r="MK22" s="9"/>
      <c r="ML22" s="9"/>
      <c r="MM22" s="9"/>
      <c r="MN22" s="9"/>
      <c r="MO22" s="9"/>
      <c r="MP22" s="9"/>
      <c r="MQ22" s="9"/>
      <c r="MR22" s="9"/>
      <c r="MS22" s="9"/>
      <c r="MT22" s="9"/>
      <c r="MU22" s="9"/>
      <c r="MV22" s="9"/>
      <c r="MW22" s="9"/>
      <c r="MX22" s="9"/>
      <c r="MY22" s="9"/>
      <c r="MZ22" s="9"/>
      <c r="NA22" s="9"/>
      <c r="NB22" s="9"/>
      <c r="NC22" s="9"/>
      <c r="ND22" s="9"/>
      <c r="NE22" s="9"/>
      <c r="NF22" s="9"/>
      <c r="NG22" s="9"/>
      <c r="NH22" s="9"/>
      <c r="NI22" s="9"/>
      <c r="NJ22" s="9"/>
      <c r="NK22" s="9"/>
      <c r="NL22" s="9"/>
      <c r="NM22" s="9"/>
      <c r="NN22" s="9"/>
      <c r="NO22" s="9"/>
      <c r="NP22" s="9"/>
      <c r="NQ22" s="9"/>
      <c r="NR22" s="9"/>
      <c r="NS22" s="9"/>
      <c r="NT22" s="9"/>
      <c r="NU22" s="9"/>
      <c r="NV22" s="9"/>
      <c r="NW22" s="9"/>
      <c r="NX22" s="9"/>
      <c r="NY22" s="9"/>
      <c r="NZ22" s="9"/>
      <c r="OA22" s="9"/>
      <c r="OB22" s="9"/>
      <c r="OC22" s="9"/>
      <c r="OD22" s="9"/>
      <c r="OE22" s="9"/>
      <c r="OF22" s="9"/>
      <c r="OG22" s="9"/>
      <c r="OH22" s="9"/>
      <c r="OI22" s="9"/>
      <c r="OJ22" s="9"/>
      <c r="OK22" s="9"/>
      <c r="OL22" s="9"/>
      <c r="OM22" s="9"/>
      <c r="ON22" s="9"/>
      <c r="OO22" s="9"/>
      <c r="OP22" s="9"/>
      <c r="OQ22" s="9"/>
      <c r="OR22" s="9"/>
      <c r="OS22" s="9"/>
      <c r="OT22" s="9"/>
      <c r="OU22" s="9"/>
      <c r="OV22" s="9"/>
      <c r="OW22" s="9"/>
      <c r="OX22" s="9"/>
      <c r="OY22" s="9"/>
      <c r="OZ22" s="9"/>
      <c r="PA22" s="9"/>
      <c r="PB22" s="9"/>
      <c r="PC22" s="9"/>
      <c r="PD22" s="9"/>
      <c r="PE22" s="9"/>
      <c r="PF22" s="9"/>
      <c r="PG22" s="9"/>
      <c r="PH22" s="9"/>
      <c r="PI22" s="9"/>
      <c r="PJ22" s="9"/>
      <c r="PK22" s="9"/>
      <c r="PL22" s="9"/>
      <c r="PM22" s="9"/>
      <c r="PN22" s="9"/>
      <c r="PO22" s="9"/>
      <c r="PP22" s="9"/>
      <c r="PQ22" s="9"/>
      <c r="PR22" s="9"/>
      <c r="PS22" s="9"/>
      <c r="PT22" s="9"/>
      <c r="PU22" s="9"/>
      <c r="PV22" s="9"/>
      <c r="PW22" s="9"/>
      <c r="PX22" s="9"/>
      <c r="PY22" s="9"/>
      <c r="PZ22" s="9"/>
      <c r="QA22" s="9"/>
      <c r="QB22" s="9"/>
      <c r="QC22" s="9"/>
      <c r="QD22" s="9"/>
      <c r="QE22" s="9"/>
      <c r="QF22" s="9"/>
      <c r="QG22" s="9"/>
      <c r="QH22" s="9"/>
      <c r="QI22" s="9"/>
      <c r="QJ22" s="9"/>
      <c r="QK22" s="9"/>
      <c r="QL22" s="9"/>
      <c r="QM22" s="9"/>
      <c r="QN22" s="9"/>
      <c r="QO22" s="9"/>
      <c r="QP22" s="9"/>
      <c r="QQ22" s="9"/>
      <c r="QR22" s="9"/>
      <c r="QS22" s="9"/>
      <c r="QT22" s="9"/>
      <c r="QU22" s="9"/>
      <c r="QV22" s="9"/>
      <c r="QW22" s="9"/>
      <c r="QX22" s="9"/>
      <c r="QY22" s="9"/>
      <c r="QZ22" s="9"/>
      <c r="RA22" s="9"/>
      <c r="RB22" s="9"/>
      <c r="RC22" s="9"/>
      <c r="RD22" s="9"/>
      <c r="RE22" s="9"/>
      <c r="RF22" s="9"/>
      <c r="RG22" s="9"/>
      <c r="RH22" s="9"/>
      <c r="RI22" s="9"/>
      <c r="RJ22" s="9"/>
      <c r="RK22" s="9"/>
      <c r="RL22" s="9"/>
      <c r="RM22" s="9"/>
      <c r="RN22" s="9"/>
      <c r="RO22" s="9"/>
      <c r="RP22" s="9"/>
      <c r="RQ22" s="9"/>
      <c r="RR22" s="9"/>
      <c r="RS22" s="9"/>
      <c r="RT22" s="9"/>
      <c r="RU22" s="9"/>
      <c r="RV22" s="9"/>
      <c r="RW22" s="9"/>
      <c r="RX22" s="9"/>
      <c r="RY22" s="9"/>
      <c r="RZ22" s="9"/>
      <c r="SA22" s="9"/>
      <c r="SB22" s="9"/>
      <c r="SC22" s="9"/>
      <c r="SD22" s="9"/>
      <c r="SE22" s="9"/>
      <c r="SF22" s="9"/>
      <c r="SG22" s="9"/>
      <c r="SH22" s="9"/>
      <c r="SI22" s="9"/>
      <c r="SJ22" s="9"/>
      <c r="SK22" s="9"/>
      <c r="SL22" s="9"/>
      <c r="SM22" s="9"/>
      <c r="SN22" s="9"/>
      <c r="SO22" s="9"/>
      <c r="SP22" s="9"/>
      <c r="SQ22" s="9"/>
      <c r="SR22" s="9"/>
      <c r="SS22" s="9"/>
      <c r="ST22" s="9"/>
      <c r="SU22" s="9"/>
      <c r="SV22" s="9"/>
      <c r="SW22" s="9"/>
      <c r="SX22" s="9"/>
      <c r="SY22" s="9"/>
      <c r="SZ22" s="9"/>
      <c r="TA22" s="9"/>
      <c r="TB22" s="9"/>
      <c r="TC22" s="9"/>
      <c r="TD22" s="9"/>
      <c r="TE22" s="9"/>
      <c r="TF22" s="9"/>
      <c r="TG22" s="9"/>
      <c r="TH22" s="9"/>
      <c r="TI22" s="9"/>
      <c r="TJ22" s="9"/>
      <c r="TK22" s="9"/>
      <c r="TL22" s="9"/>
      <c r="TM22" s="9"/>
      <c r="TN22" s="9"/>
      <c r="TO22" s="9"/>
      <c r="TP22" s="9"/>
      <c r="TQ22" s="9"/>
      <c r="TR22" s="9"/>
      <c r="TS22" s="9"/>
      <c r="TT22" s="9"/>
      <c r="TU22" s="9"/>
      <c r="TV22" s="9"/>
      <c r="TW22" s="9"/>
      <c r="TX22" s="9"/>
      <c r="TY22" s="9"/>
      <c r="TZ22" s="9"/>
      <c r="UA22" s="9"/>
      <c r="UB22" s="9"/>
      <c r="UC22" s="9"/>
      <c r="UD22" s="9"/>
      <c r="UE22" s="9"/>
      <c r="UF22" s="9"/>
      <c r="UG22" s="9"/>
      <c r="UH22" s="9"/>
      <c r="UI22" s="9"/>
      <c r="UJ22" s="9"/>
      <c r="UK22" s="9"/>
      <c r="UL22" s="9"/>
      <c r="UM22" s="9"/>
    </row>
    <row r="23" spans="1:559" s="133" customFormat="1" ht="15">
      <c r="A23" s="22"/>
      <c r="B23" s="22"/>
      <c r="C23" s="22"/>
      <c r="D23" s="22"/>
      <c r="E23" s="22"/>
      <c r="F23" s="22"/>
      <c r="G23" s="22"/>
      <c r="H23" s="22"/>
      <c r="I23" s="22"/>
      <c r="J23" s="50"/>
      <c r="K23" s="59">
        <v>1</v>
      </c>
      <c r="L23" s="202"/>
      <c r="M23" s="356" t="s">
        <v>1700</v>
      </c>
      <c r="N23" s="356"/>
      <c r="O23" s="356"/>
      <c r="P23" s="287"/>
      <c r="Q23" s="274"/>
      <c r="R23" s="274">
        <v>1</v>
      </c>
      <c r="S23" s="284">
        <f>MIN(Z24:Z26)</f>
        <v>44256</v>
      </c>
      <c r="T23" s="278">
        <f>Y23-S23+1</f>
        <v>31</v>
      </c>
      <c r="U23" s="272"/>
      <c r="V23" s="288"/>
      <c r="W23" s="203"/>
      <c r="X23" s="178"/>
      <c r="Y23" s="43">
        <f>MAX(AA24:AA26)</f>
        <v>44286</v>
      </c>
      <c r="Z23" s="178"/>
      <c r="AA23" s="178"/>
      <c r="AB23" s="45">
        <f>SUMPRODUCT(AA24:AA26,AB24:AB26)/SUM(AA24:AA26)</f>
        <v>0.73326204980309173</v>
      </c>
      <c r="AC23" s="178">
        <f>S23-1+AB23*T23</f>
        <v>44277.731123543897</v>
      </c>
      <c r="AD23" s="205">
        <f>IF(AB23&lt;&gt;"",IF(AND(AB23&lt;1,AC23&lt;$DC$7),0,1))</f>
        <v>0</v>
      </c>
      <c r="AE23" s="203"/>
      <c r="AF23" s="203"/>
      <c r="AG23" s="203"/>
      <c r="AH23" s="203"/>
      <c r="AI23" s="203"/>
      <c r="AJ23" s="20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c r="GT23" s="6"/>
      <c r="GU23" s="6"/>
      <c r="GV23" s="6"/>
      <c r="GW23" s="6"/>
      <c r="GX23" s="6"/>
      <c r="GY23" s="6"/>
      <c r="GZ23" s="6"/>
      <c r="HA23" s="6"/>
      <c r="HB23" s="6"/>
      <c r="HC23" s="6"/>
      <c r="HD23" s="6"/>
      <c r="HE23" s="6"/>
      <c r="HF23" s="6"/>
      <c r="HG23" s="6"/>
      <c r="HH23" s="6"/>
      <c r="HI23" s="6"/>
      <c r="HJ23" s="6"/>
      <c r="HK23" s="6"/>
      <c r="HL23" s="6"/>
      <c r="HM23" s="6"/>
      <c r="HN23" s="6"/>
      <c r="HO23" s="6"/>
      <c r="HP23" s="6"/>
      <c r="HQ23" s="6"/>
      <c r="HR23" s="6"/>
      <c r="HS23" s="6"/>
      <c r="HT23" s="6"/>
      <c r="HU23" s="6"/>
      <c r="HV23" s="6"/>
      <c r="HW23" s="6"/>
      <c r="HX23" s="6"/>
      <c r="HY23" s="6"/>
      <c r="HZ23" s="6"/>
      <c r="IA23" s="6"/>
      <c r="IB23" s="6"/>
      <c r="IC23" s="6"/>
      <c r="ID23" s="6"/>
      <c r="IE23" s="6"/>
      <c r="IF23" s="6"/>
      <c r="IG23" s="6"/>
      <c r="IH23" s="6"/>
      <c r="II23" s="6"/>
      <c r="IJ23" s="6"/>
      <c r="IK23" s="6"/>
      <c r="IL23" s="6"/>
      <c r="IM23" s="6"/>
      <c r="IN23" s="6"/>
      <c r="IO23" s="6"/>
      <c r="IP23" s="6"/>
      <c r="IQ23" s="6"/>
      <c r="IR23" s="6"/>
      <c r="IS23" s="6"/>
      <c r="IT23" s="6"/>
      <c r="IU23" s="6"/>
      <c r="IV23" s="6"/>
      <c r="IW23" s="6"/>
      <c r="IX23" s="6"/>
      <c r="IY23" s="6"/>
      <c r="IZ23" s="6"/>
      <c r="JA23" s="6"/>
      <c r="JB23" s="6"/>
      <c r="JC23" s="6"/>
      <c r="JD23" s="6"/>
      <c r="JE23" s="6"/>
      <c r="JF23" s="6"/>
      <c r="JG23" s="6"/>
      <c r="JH23" s="6"/>
      <c r="JI23" s="6"/>
      <c r="JJ23" s="6"/>
      <c r="JK23" s="6"/>
      <c r="JL23" s="6"/>
      <c r="JM23" s="6"/>
      <c r="JN23" s="6"/>
      <c r="JO23" s="6"/>
      <c r="JP23" s="6"/>
      <c r="JQ23" s="6"/>
      <c r="JR23" s="6"/>
      <c r="JS23" s="6"/>
      <c r="JT23" s="6"/>
      <c r="JU23" s="6"/>
      <c r="JV23" s="6"/>
      <c r="JW23" s="6"/>
      <c r="JX23" s="6"/>
      <c r="JY23" s="6"/>
      <c r="JZ23" s="6"/>
      <c r="KA23" s="6"/>
      <c r="KB23" s="6"/>
      <c r="KC23" s="6"/>
      <c r="KD23" s="6"/>
      <c r="KE23" s="6"/>
      <c r="KF23" s="6"/>
      <c r="KG23" s="6"/>
      <c r="KH23" s="6"/>
      <c r="KI23" s="6"/>
      <c r="KJ23" s="6"/>
      <c r="KK23" s="6"/>
      <c r="KL23" s="6"/>
      <c r="KM23" s="6"/>
      <c r="KN23" s="6"/>
      <c r="KO23" s="6"/>
      <c r="KP23" s="6"/>
      <c r="KQ23" s="6"/>
      <c r="KR23" s="6"/>
      <c r="KS23" s="6"/>
      <c r="KT23" s="6"/>
      <c r="KU23" s="6"/>
      <c r="KV23" s="6"/>
      <c r="KW23" s="6"/>
      <c r="KX23" s="6"/>
      <c r="KY23" s="6"/>
      <c r="KZ23" s="6"/>
      <c r="LA23" s="6"/>
      <c r="LB23" s="6"/>
      <c r="LC23" s="6"/>
      <c r="LD23" s="6"/>
      <c r="LE23" s="6"/>
      <c r="LF23" s="6"/>
      <c r="LG23" s="6"/>
      <c r="LH23" s="6"/>
      <c r="LI23" s="6"/>
      <c r="LJ23" s="6"/>
      <c r="LK23" s="6"/>
      <c r="LL23" s="6"/>
      <c r="LM23" s="6"/>
      <c r="LN23" s="6"/>
      <c r="LO23" s="6"/>
      <c r="LP23" s="6"/>
      <c r="LQ23" s="6"/>
      <c r="LR23" s="6"/>
      <c r="LS23" s="6"/>
      <c r="LT23" s="6"/>
      <c r="LU23" s="6"/>
      <c r="LV23" s="6"/>
      <c r="LW23" s="6"/>
      <c r="LX23" s="6"/>
      <c r="LY23" s="6"/>
      <c r="LZ23" s="6"/>
      <c r="MA23" s="6"/>
      <c r="MB23" s="6"/>
      <c r="MC23" s="6"/>
      <c r="MD23" s="6"/>
      <c r="ME23" s="6"/>
      <c r="MF23" s="6"/>
      <c r="MG23" s="6"/>
      <c r="MH23" s="6"/>
      <c r="MI23" s="6"/>
      <c r="MJ23" s="6"/>
      <c r="MK23" s="6"/>
      <c r="ML23" s="6"/>
      <c r="MM23" s="6"/>
      <c r="MN23" s="6"/>
      <c r="MO23" s="6"/>
      <c r="MP23" s="6"/>
      <c r="MQ23" s="6"/>
      <c r="MR23" s="6"/>
      <c r="MS23" s="6"/>
      <c r="MT23" s="6"/>
      <c r="MU23" s="6"/>
      <c r="MV23" s="6"/>
      <c r="MW23" s="6"/>
      <c r="MX23" s="6"/>
      <c r="MY23" s="6"/>
      <c r="MZ23" s="6"/>
      <c r="NA23" s="6"/>
      <c r="NB23" s="6"/>
      <c r="NC23" s="6"/>
      <c r="ND23" s="6"/>
      <c r="NE23" s="6"/>
      <c r="NF23" s="6"/>
      <c r="NG23" s="6"/>
      <c r="NH23" s="6"/>
      <c r="NI23" s="6"/>
      <c r="NJ23" s="6"/>
      <c r="NK23" s="6"/>
      <c r="NL23" s="6"/>
      <c r="NM23" s="6"/>
      <c r="NN23" s="6"/>
      <c r="NO23" s="6"/>
      <c r="NP23" s="6"/>
      <c r="NQ23" s="6"/>
      <c r="NR23" s="6"/>
      <c r="NS23" s="6"/>
      <c r="NT23" s="6"/>
      <c r="NU23" s="6"/>
      <c r="NV23" s="6"/>
      <c r="NW23" s="6"/>
      <c r="NX23" s="6"/>
      <c r="NY23" s="6"/>
      <c r="NZ23" s="6"/>
      <c r="OA23" s="6"/>
      <c r="OB23" s="6"/>
      <c r="OC23" s="6"/>
      <c r="OD23" s="6"/>
      <c r="OE23" s="6"/>
      <c r="OF23" s="6"/>
      <c r="OG23" s="6"/>
      <c r="OH23" s="6"/>
      <c r="OI23" s="6"/>
      <c r="OJ23" s="6"/>
      <c r="OK23" s="6"/>
      <c r="OL23" s="6"/>
      <c r="OM23" s="6"/>
      <c r="ON23" s="6"/>
      <c r="OO23" s="6"/>
      <c r="OP23" s="6"/>
      <c r="OQ23" s="6"/>
      <c r="OR23" s="6"/>
      <c r="OS23" s="6"/>
      <c r="OT23" s="6"/>
      <c r="OU23" s="6"/>
      <c r="OV23" s="6"/>
      <c r="OW23" s="6"/>
      <c r="OX23" s="6"/>
      <c r="OY23" s="6"/>
      <c r="OZ23" s="6"/>
      <c r="PA23" s="6"/>
      <c r="PB23" s="6"/>
      <c r="PC23" s="6"/>
      <c r="PD23" s="6"/>
      <c r="PE23" s="6"/>
      <c r="PF23" s="6"/>
      <c r="PG23" s="6"/>
      <c r="PH23" s="6"/>
      <c r="PI23" s="6"/>
      <c r="PJ23" s="6"/>
      <c r="PK23" s="6"/>
      <c r="PL23" s="6"/>
      <c r="PM23" s="6"/>
      <c r="PN23" s="6"/>
      <c r="PO23" s="6"/>
      <c r="PP23" s="6"/>
      <c r="PQ23" s="6"/>
      <c r="PR23" s="6"/>
      <c r="PS23" s="6"/>
      <c r="PT23" s="6"/>
      <c r="PU23" s="6"/>
      <c r="PV23" s="6"/>
      <c r="PW23" s="6"/>
      <c r="PX23" s="6"/>
      <c r="PY23" s="6"/>
      <c r="PZ23" s="6"/>
      <c r="QA23" s="6"/>
      <c r="QB23" s="6"/>
      <c r="QC23" s="6"/>
      <c r="QD23" s="6"/>
      <c r="QE23" s="6"/>
      <c r="QF23" s="6"/>
      <c r="QG23" s="6"/>
      <c r="QH23" s="6"/>
      <c r="QI23" s="6"/>
      <c r="QJ23" s="6"/>
      <c r="QK23" s="6"/>
      <c r="QL23" s="6"/>
      <c r="QM23" s="6"/>
      <c r="QN23" s="6"/>
      <c r="QO23" s="6"/>
      <c r="QP23" s="6"/>
      <c r="QQ23" s="6"/>
      <c r="QR23" s="6"/>
      <c r="QS23" s="6"/>
      <c r="QT23" s="6"/>
      <c r="QU23" s="6"/>
      <c r="QV23" s="6"/>
      <c r="QW23" s="6"/>
      <c r="QX23" s="6"/>
      <c r="QY23" s="6"/>
      <c r="QZ23" s="6"/>
      <c r="RA23" s="6"/>
      <c r="RB23" s="6"/>
      <c r="RC23" s="6"/>
      <c r="RD23" s="6"/>
      <c r="RE23" s="6"/>
      <c r="RF23" s="6"/>
      <c r="RG23" s="6"/>
      <c r="RH23" s="6"/>
      <c r="RI23" s="6"/>
      <c r="RJ23" s="6"/>
      <c r="RK23" s="6"/>
      <c r="RL23" s="6"/>
      <c r="RM23" s="6"/>
      <c r="RN23" s="6"/>
      <c r="RO23" s="6"/>
      <c r="RP23" s="6"/>
      <c r="RQ23" s="6"/>
      <c r="RR23" s="6"/>
      <c r="RS23" s="6"/>
      <c r="RT23" s="6"/>
      <c r="RU23" s="6"/>
      <c r="RV23" s="6"/>
      <c r="RW23" s="6"/>
      <c r="RX23" s="6"/>
      <c r="RY23" s="6"/>
      <c r="RZ23" s="6"/>
      <c r="SA23" s="6"/>
      <c r="SB23" s="6"/>
      <c r="SC23" s="6"/>
      <c r="SD23" s="6"/>
      <c r="SE23" s="6"/>
      <c r="SF23" s="6"/>
      <c r="SG23" s="6"/>
      <c r="SH23" s="6"/>
      <c r="SI23" s="6"/>
      <c r="SJ23" s="6"/>
      <c r="SK23" s="6"/>
      <c r="SL23" s="6"/>
      <c r="SM23" s="6"/>
      <c r="SN23" s="6"/>
      <c r="SO23" s="6"/>
      <c r="SP23" s="6"/>
      <c r="SQ23" s="6"/>
      <c r="SR23" s="6"/>
      <c r="SS23" s="6"/>
      <c r="ST23" s="6"/>
      <c r="SU23" s="6"/>
      <c r="SV23" s="6"/>
      <c r="SW23" s="6"/>
      <c r="SX23" s="6"/>
      <c r="SY23" s="6"/>
      <c r="SZ23" s="6"/>
      <c r="TA23" s="6"/>
      <c r="TB23" s="6"/>
      <c r="TC23" s="6"/>
      <c r="TD23" s="6"/>
      <c r="TE23" s="6"/>
      <c r="TF23" s="6"/>
      <c r="TG23" s="6"/>
      <c r="TH23" s="6"/>
      <c r="TI23" s="6"/>
      <c r="TJ23" s="6"/>
      <c r="TK23" s="6"/>
      <c r="TL23" s="6"/>
      <c r="TM23" s="6"/>
      <c r="TN23" s="6"/>
      <c r="TO23" s="6"/>
      <c r="TP23" s="6"/>
      <c r="TQ23" s="6"/>
      <c r="TR23" s="6"/>
      <c r="TS23" s="6"/>
      <c r="TT23" s="6"/>
      <c r="TU23" s="6"/>
      <c r="TV23" s="6"/>
      <c r="TW23" s="6"/>
      <c r="TX23" s="6"/>
      <c r="TY23" s="6"/>
      <c r="TZ23" s="6"/>
      <c r="UA23" s="6"/>
      <c r="UB23" s="6"/>
      <c r="UC23" s="6"/>
      <c r="UD23" s="6"/>
      <c r="UE23" s="6"/>
      <c r="UF23" s="6"/>
      <c r="UG23" s="6"/>
      <c r="UH23" s="6"/>
      <c r="UI23" s="6"/>
      <c r="UJ23" s="6"/>
      <c r="UK23" s="6"/>
      <c r="UL23" s="6"/>
      <c r="UM23" s="6"/>
    </row>
    <row r="24" spans="1:559" s="133" customFormat="1" ht="11.25" customHeight="1">
      <c r="A24" s="50"/>
      <c r="B24" s="10"/>
      <c r="C24" s="10"/>
      <c r="D24" s="50"/>
      <c r="E24" s="50"/>
      <c r="F24" s="50"/>
      <c r="G24" s="50"/>
      <c r="H24" s="50"/>
      <c r="I24" s="50"/>
      <c r="J24" s="50"/>
      <c r="K24" s="277" t="s">
        <v>0</v>
      </c>
      <c r="L24" s="46"/>
      <c r="M24" s="357" t="s">
        <v>1701</v>
      </c>
      <c r="N24" s="357"/>
      <c r="O24" s="357"/>
      <c r="P24" s="8"/>
      <c r="Q24" s="275" t="str">
        <f>IF(ISERROR(VLOOKUP(P24,Tools!$D$11:$J$57,7,FALSE)),"",VLOOKUP(P24,Tools!$D$11:$J$57,7,FALSE))</f>
        <v/>
      </c>
      <c r="R24" s="275">
        <v>2</v>
      </c>
      <c r="S24" s="216">
        <v>44256</v>
      </c>
      <c r="T24" s="8">
        <v>2</v>
      </c>
      <c r="U24" s="8" t="s">
        <v>998</v>
      </c>
      <c r="V24" s="275">
        <f>IF(U24=dur_type_d,T24,IF(U24=dur_type_w,IF(Work_D_Only_Bool,T24*5,T24*7),IF(U24=dur_type_m,IF(Work_D_Only_Bool,NETWORKDAYS.INTL(S24,DATE(YEAR(S24),MONTH(S24)+T24,DAY(S24)-1),WE_Days,Holiday_Days),DATE(YEAR(S24),MONTH(S24)+T24,DAY(S24))-S24),"ERROR")))</f>
        <v>2</v>
      </c>
      <c r="W24" s="49"/>
      <c r="X24" s="179">
        <f>IF(V24&gt;0,S24+V24-1,S24+V24+1)</f>
        <v>44257</v>
      </c>
      <c r="Y24" s="47">
        <f>IF(S24&lt;&gt;"",IF($GE$7,W24,X24),"")</f>
        <v>44257</v>
      </c>
      <c r="Z24" s="179">
        <f t="shared" ref="Z24" si="118">IF(T24&gt;0,S24,Y24)</f>
        <v>44256</v>
      </c>
      <c r="AA24" s="179">
        <f t="shared" ref="AA24" si="119">IF(T24&gt;0,Y24,S24)</f>
        <v>44257</v>
      </c>
      <c r="AB24" s="48">
        <v>1</v>
      </c>
      <c r="AC24" s="179">
        <f>INT(Z24+AB24*(AA24-Z24))</f>
        <v>44257</v>
      </c>
      <c r="AD24" s="204">
        <f t="shared" ref="AD24" si="120">IF(AND(AB24&lt;1,AC24&lt;$DC$7),0,1)</f>
        <v>1</v>
      </c>
      <c r="AE24" s="49"/>
      <c r="AF24" s="49"/>
      <c r="AG24" s="49"/>
      <c r="AH24" s="49"/>
      <c r="AI24" s="49"/>
      <c r="AJ24" s="224"/>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C24" s="9"/>
      <c r="JD24" s="9"/>
      <c r="JE24" s="9"/>
      <c r="JF24" s="9"/>
      <c r="JG24" s="9"/>
      <c r="JH24" s="9"/>
      <c r="JI24" s="9"/>
      <c r="JJ24" s="9"/>
      <c r="JK24" s="9"/>
      <c r="JL24" s="9"/>
      <c r="JM24" s="9"/>
      <c r="JN24" s="9"/>
      <c r="JO24" s="9"/>
      <c r="JP24" s="9"/>
      <c r="JQ24" s="9"/>
      <c r="JR24" s="9"/>
      <c r="JS24" s="9"/>
      <c r="JT24" s="9"/>
      <c r="JU24" s="9"/>
      <c r="JV24" s="9"/>
      <c r="JW24" s="9"/>
      <c r="JX24" s="9"/>
      <c r="JY24" s="9"/>
      <c r="JZ24" s="9"/>
      <c r="KA24" s="9"/>
      <c r="KB24" s="9"/>
      <c r="KC24" s="9"/>
      <c r="KD24" s="9"/>
      <c r="KE24" s="9"/>
      <c r="KF24" s="9"/>
      <c r="KG24" s="9"/>
      <c r="KH24" s="9"/>
      <c r="KI24" s="9"/>
      <c r="KJ24" s="9"/>
      <c r="KK24" s="9"/>
      <c r="KL24" s="9"/>
      <c r="KM24" s="9"/>
      <c r="KN24" s="9"/>
      <c r="KO24" s="9"/>
      <c r="KP24" s="9"/>
      <c r="KQ24" s="9"/>
      <c r="KR24" s="9"/>
      <c r="KS24" s="9"/>
      <c r="KT24" s="9"/>
      <c r="KU24" s="9"/>
      <c r="KV24" s="9"/>
      <c r="KW24" s="9"/>
      <c r="KX24" s="9"/>
      <c r="KY24" s="9"/>
      <c r="KZ24" s="9"/>
      <c r="LA24" s="9"/>
      <c r="LB24" s="9"/>
      <c r="LC24" s="9"/>
      <c r="LD24" s="9"/>
      <c r="LE24" s="9"/>
      <c r="LF24" s="9"/>
      <c r="LG24" s="9"/>
      <c r="LH24" s="9"/>
      <c r="LI24" s="9"/>
      <c r="LJ24" s="9"/>
      <c r="LK24" s="9"/>
      <c r="LL24" s="9"/>
      <c r="LM24" s="9"/>
      <c r="LN24" s="9"/>
      <c r="LO24" s="9"/>
      <c r="LP24" s="9"/>
      <c r="LQ24" s="9"/>
      <c r="LR24" s="9"/>
      <c r="LS24" s="9"/>
      <c r="LT24" s="9"/>
      <c r="LU24" s="9"/>
      <c r="LV24" s="9"/>
      <c r="LW24" s="9"/>
      <c r="LX24" s="9"/>
      <c r="LY24" s="9"/>
      <c r="LZ24" s="9"/>
      <c r="MA24" s="9"/>
      <c r="MB24" s="9"/>
      <c r="MC24" s="9"/>
      <c r="MD24" s="9"/>
      <c r="ME24" s="9"/>
      <c r="MF24" s="9"/>
      <c r="MG24" s="9"/>
      <c r="MH24" s="9"/>
      <c r="MI24" s="9"/>
      <c r="MJ24" s="9"/>
      <c r="MK24" s="9"/>
      <c r="ML24" s="9"/>
      <c r="MM24" s="9"/>
      <c r="MN24" s="9"/>
      <c r="MO24" s="9"/>
      <c r="MP24" s="9"/>
      <c r="MQ24" s="9"/>
      <c r="MR24" s="9"/>
      <c r="MS24" s="9"/>
      <c r="MT24" s="9"/>
      <c r="MU24" s="9"/>
      <c r="MV24" s="9"/>
      <c r="MW24" s="9"/>
      <c r="MX24" s="9"/>
      <c r="MY24" s="9"/>
      <c r="MZ24" s="9"/>
      <c r="NA24" s="9"/>
      <c r="NB24" s="9"/>
      <c r="NC24" s="9"/>
      <c r="ND24" s="9"/>
      <c r="NE24" s="9"/>
      <c r="NF24" s="9"/>
      <c r="NG24" s="9"/>
      <c r="NH24" s="9"/>
      <c r="NI24" s="9"/>
      <c r="NJ24" s="9"/>
      <c r="NK24" s="9"/>
      <c r="NL24" s="9"/>
      <c r="NM24" s="9"/>
      <c r="NN24" s="9"/>
      <c r="NO24" s="9"/>
      <c r="NP24" s="9"/>
      <c r="NQ24" s="9"/>
      <c r="NR24" s="9"/>
      <c r="NS24" s="9"/>
      <c r="NT24" s="9"/>
      <c r="NU24" s="9"/>
      <c r="NV24" s="9"/>
      <c r="NW24" s="9"/>
      <c r="NX24" s="9"/>
      <c r="NY24" s="9"/>
      <c r="NZ24" s="9"/>
      <c r="OA24" s="9"/>
      <c r="OB24" s="9"/>
      <c r="OC24" s="9"/>
      <c r="OD24" s="9"/>
      <c r="OE24" s="9"/>
      <c r="OF24" s="9"/>
      <c r="OG24" s="9"/>
      <c r="OH24" s="9"/>
      <c r="OI24" s="9"/>
      <c r="OJ24" s="9"/>
      <c r="OK24" s="9"/>
      <c r="OL24" s="9"/>
      <c r="OM24" s="9"/>
      <c r="ON24" s="9"/>
      <c r="OO24" s="9"/>
      <c r="OP24" s="9"/>
      <c r="OQ24" s="9"/>
      <c r="OR24" s="9"/>
      <c r="OS24" s="9"/>
      <c r="OT24" s="9"/>
      <c r="OU24" s="9"/>
      <c r="OV24" s="9"/>
      <c r="OW24" s="9"/>
      <c r="OX24" s="9"/>
      <c r="OY24" s="9"/>
      <c r="OZ24" s="9"/>
      <c r="PA24" s="9"/>
      <c r="PB24" s="9"/>
      <c r="PC24" s="9"/>
      <c r="PD24" s="9"/>
      <c r="PE24" s="9"/>
      <c r="PF24" s="9"/>
      <c r="PG24" s="9"/>
      <c r="PH24" s="9"/>
      <c r="PI24" s="9"/>
      <c r="PJ24" s="9"/>
      <c r="PK24" s="9"/>
      <c r="PL24" s="9"/>
      <c r="PM24" s="9"/>
      <c r="PN24" s="9"/>
      <c r="PO24" s="9"/>
      <c r="PP24" s="9"/>
      <c r="PQ24" s="9"/>
      <c r="PR24" s="9"/>
      <c r="PS24" s="9"/>
      <c r="PT24" s="9"/>
      <c r="PU24" s="9"/>
      <c r="PV24" s="9"/>
      <c r="PW24" s="9"/>
      <c r="PX24" s="9"/>
      <c r="PY24" s="9"/>
      <c r="PZ24" s="9"/>
      <c r="QA24" s="9"/>
      <c r="QB24" s="9"/>
      <c r="QC24" s="9"/>
      <c r="QD24" s="9"/>
      <c r="QE24" s="9"/>
      <c r="QF24" s="9"/>
      <c r="QG24" s="9"/>
      <c r="QH24" s="9"/>
      <c r="QI24" s="9"/>
      <c r="QJ24" s="9"/>
      <c r="QK24" s="9"/>
      <c r="QL24" s="9"/>
      <c r="QM24" s="9"/>
      <c r="QN24" s="9"/>
      <c r="QO24" s="9"/>
      <c r="QP24" s="9"/>
      <c r="QQ24" s="9"/>
      <c r="QR24" s="9"/>
      <c r="QS24" s="9"/>
      <c r="QT24" s="9"/>
      <c r="QU24" s="9"/>
      <c r="QV24" s="9"/>
      <c r="QW24" s="9"/>
      <c r="QX24" s="9"/>
      <c r="QY24" s="9"/>
      <c r="QZ24" s="9"/>
      <c r="RA24" s="9"/>
      <c r="RB24" s="9"/>
      <c r="RC24" s="9"/>
      <c r="RD24" s="9"/>
      <c r="RE24" s="9"/>
      <c r="RF24" s="9"/>
      <c r="RG24" s="9"/>
      <c r="RH24" s="9"/>
      <c r="RI24" s="9"/>
      <c r="RJ24" s="9"/>
      <c r="RK24" s="9"/>
      <c r="RL24" s="9"/>
      <c r="RM24" s="9"/>
      <c r="RN24" s="9"/>
      <c r="RO24" s="9"/>
      <c r="RP24" s="9"/>
      <c r="RQ24" s="9"/>
      <c r="RR24" s="9"/>
      <c r="RS24" s="9"/>
      <c r="RT24" s="9"/>
      <c r="RU24" s="9"/>
      <c r="RV24" s="9"/>
      <c r="RW24" s="9"/>
      <c r="RX24" s="9"/>
      <c r="RY24" s="9"/>
      <c r="RZ24" s="9"/>
      <c r="SA24" s="9"/>
      <c r="SB24" s="9"/>
      <c r="SC24" s="9"/>
      <c r="SD24" s="9"/>
      <c r="SE24" s="9"/>
      <c r="SF24" s="9"/>
      <c r="SG24" s="9"/>
      <c r="SH24" s="9"/>
      <c r="SI24" s="9"/>
      <c r="SJ24" s="9"/>
      <c r="SK24" s="9"/>
      <c r="SL24" s="9"/>
      <c r="SM24" s="9"/>
      <c r="SN24" s="9"/>
      <c r="SO24" s="9"/>
      <c r="SP24" s="9"/>
      <c r="SQ24" s="9"/>
      <c r="SR24" s="9"/>
      <c r="SS24" s="9"/>
      <c r="ST24" s="9"/>
      <c r="SU24" s="9"/>
      <c r="SV24" s="9"/>
      <c r="SW24" s="9"/>
      <c r="SX24" s="9"/>
      <c r="SY24" s="9"/>
      <c r="SZ24" s="9"/>
      <c r="TA24" s="9"/>
      <c r="TB24" s="9"/>
      <c r="TC24" s="9"/>
      <c r="TD24" s="9"/>
      <c r="TE24" s="9"/>
      <c r="TF24" s="9"/>
      <c r="TG24" s="9"/>
      <c r="TH24" s="9"/>
      <c r="TI24" s="9"/>
      <c r="TJ24" s="9"/>
      <c r="TK24" s="9"/>
      <c r="TL24" s="9"/>
      <c r="TM24" s="9"/>
      <c r="TN24" s="9"/>
      <c r="TO24" s="9"/>
      <c r="TP24" s="9"/>
      <c r="TQ24" s="9"/>
      <c r="TR24" s="9"/>
      <c r="TS24" s="9"/>
      <c r="TT24" s="9"/>
      <c r="TU24" s="9"/>
      <c r="TV24" s="9"/>
      <c r="TW24" s="9"/>
      <c r="TX24" s="9"/>
      <c r="TY24" s="9"/>
      <c r="TZ24" s="9"/>
      <c r="UA24" s="9"/>
      <c r="UB24" s="9"/>
      <c r="UC24" s="9"/>
      <c r="UD24" s="9"/>
      <c r="UE24" s="9"/>
      <c r="UF24" s="9"/>
      <c r="UG24" s="9"/>
      <c r="UH24" s="9"/>
      <c r="UI24" s="9"/>
      <c r="UJ24" s="9"/>
      <c r="UK24" s="9"/>
      <c r="UL24" s="9"/>
      <c r="UM24" s="9"/>
    </row>
    <row r="25" spans="1:559" s="133" customFormat="1" ht="11.25" customHeight="1">
      <c r="A25" s="50"/>
      <c r="B25" s="10"/>
      <c r="C25" s="10"/>
      <c r="D25" s="50"/>
      <c r="E25" s="50"/>
      <c r="F25" s="50"/>
      <c r="G25" s="50"/>
      <c r="H25" s="50"/>
      <c r="I25" s="50"/>
      <c r="J25" s="50"/>
      <c r="K25" s="277" t="s">
        <v>1060</v>
      </c>
      <c r="L25" s="46"/>
      <c r="M25" s="357" t="s">
        <v>1702</v>
      </c>
      <c r="N25" s="357"/>
      <c r="O25" s="357"/>
      <c r="P25" s="8"/>
      <c r="Q25" s="275" t="str">
        <f>IF(ISERROR(VLOOKUP(P25,Tools!$D$11:$J$57,7,FALSE)),"",VLOOKUP(P25,Tools!$D$11:$J$57,7,FALSE))</f>
        <v/>
      </c>
      <c r="R25" s="275">
        <v>2</v>
      </c>
      <c r="S25" s="216">
        <v>44257</v>
      </c>
      <c r="T25" s="8">
        <v>30</v>
      </c>
      <c r="U25" s="8" t="s">
        <v>998</v>
      </c>
      <c r="V25" s="275">
        <f>IF(U25=dur_type_d,T25,IF(U25=dur_type_w,IF(Work_D_Only_Bool,T25*5,T25*7),IF(U25=dur_type_m,IF(Work_D_Only_Bool,NETWORKDAYS.INTL(S25,DATE(YEAR(S25),MONTH(S25)+T25,DAY(S25)-1),WE_Days,Holiday_Days),DATE(YEAR(S25),MONTH(S25)+T25,DAY(S25))-S25),"ERROR")))</f>
        <v>30</v>
      </c>
      <c r="W25" s="49"/>
      <c r="X25" s="179">
        <f>IF(V25&gt;0,S25+V25-1,S25+V25+1)</f>
        <v>44286</v>
      </c>
      <c r="Y25" s="47">
        <f>IF(S25&lt;&gt;"",IF($GE$7,W25,X25),"")</f>
        <v>44286</v>
      </c>
      <c r="Z25" s="179">
        <f t="shared" ref="Z25:Z29" si="121">IF(T25&gt;0,S25,Y25)</f>
        <v>44257</v>
      </c>
      <c r="AA25" s="179">
        <f t="shared" ref="AA25:AA29" si="122">IF(T25&gt;0,Y25,S25)</f>
        <v>44286</v>
      </c>
      <c r="AB25" s="48">
        <v>0.4</v>
      </c>
      <c r="AC25" s="179">
        <f>INT(Z25+AB25*(AA25-Z25))</f>
        <v>44268</v>
      </c>
      <c r="AD25" s="204">
        <f t="shared" ref="AD25:AD29" si="123">IF(AND(AB25&lt;1,AC25&lt;$DC$7),0,1)</f>
        <v>0</v>
      </c>
      <c r="AE25" s="49"/>
      <c r="AF25" s="49"/>
      <c r="AG25" s="49"/>
      <c r="AH25" s="49"/>
      <c r="AI25" s="49"/>
      <c r="AJ25" s="224"/>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B25" s="9"/>
      <c r="JC25" s="9"/>
      <c r="JD25" s="9"/>
      <c r="JE25" s="9"/>
      <c r="JF25" s="9"/>
      <c r="JG25" s="9"/>
      <c r="JH25" s="9"/>
      <c r="JI25" s="9"/>
      <c r="JJ25" s="9"/>
      <c r="JK25" s="9"/>
      <c r="JL25" s="9"/>
      <c r="JM25" s="9"/>
      <c r="JN25" s="9"/>
      <c r="JO25" s="9"/>
      <c r="JP25" s="9"/>
      <c r="JQ25" s="9"/>
      <c r="JR25" s="9"/>
      <c r="JS25" s="9"/>
      <c r="JT25" s="9"/>
      <c r="JU25" s="9"/>
      <c r="JV25" s="9"/>
      <c r="JW25" s="9"/>
      <c r="JX25" s="9"/>
      <c r="JY25" s="9"/>
      <c r="JZ25" s="9"/>
      <c r="KA25" s="9"/>
      <c r="KB25" s="9"/>
      <c r="KC25" s="9"/>
      <c r="KD25" s="9"/>
      <c r="KE25" s="9"/>
      <c r="KF25" s="9"/>
      <c r="KG25" s="9"/>
      <c r="KH25" s="9"/>
      <c r="KI25" s="9"/>
      <c r="KJ25" s="9"/>
      <c r="KK25" s="9"/>
      <c r="KL25" s="9"/>
      <c r="KM25" s="9"/>
      <c r="KN25" s="9"/>
      <c r="KO25" s="9"/>
      <c r="KP25" s="9"/>
      <c r="KQ25" s="9"/>
      <c r="KR25" s="9"/>
      <c r="KS25" s="9"/>
      <c r="KT25" s="9"/>
      <c r="KU25" s="9"/>
      <c r="KV25" s="9"/>
      <c r="KW25" s="9"/>
      <c r="KX25" s="9"/>
      <c r="KY25" s="9"/>
      <c r="KZ25" s="9"/>
      <c r="LA25" s="9"/>
      <c r="LB25" s="9"/>
      <c r="LC25" s="9"/>
      <c r="LD25" s="9"/>
      <c r="LE25" s="9"/>
      <c r="LF25" s="9"/>
      <c r="LG25" s="9"/>
      <c r="LH25" s="9"/>
      <c r="LI25" s="9"/>
      <c r="LJ25" s="9"/>
      <c r="LK25" s="9"/>
      <c r="LL25" s="9"/>
      <c r="LM25" s="9"/>
      <c r="LN25" s="9"/>
      <c r="LO25" s="9"/>
      <c r="LP25" s="9"/>
      <c r="LQ25" s="9"/>
      <c r="LR25" s="9"/>
      <c r="LS25" s="9"/>
      <c r="LT25" s="9"/>
      <c r="LU25" s="9"/>
      <c r="LV25" s="9"/>
      <c r="LW25" s="9"/>
      <c r="LX25" s="9"/>
      <c r="LY25" s="9"/>
      <c r="LZ25" s="9"/>
      <c r="MA25" s="9"/>
      <c r="MB25" s="9"/>
      <c r="MC25" s="9"/>
      <c r="MD25" s="9"/>
      <c r="ME25" s="9"/>
      <c r="MF25" s="9"/>
      <c r="MG25" s="9"/>
      <c r="MH25" s="9"/>
      <c r="MI25" s="9"/>
      <c r="MJ25" s="9"/>
      <c r="MK25" s="9"/>
      <c r="ML25" s="9"/>
      <c r="MM25" s="9"/>
      <c r="MN25" s="9"/>
      <c r="MO25" s="9"/>
      <c r="MP25" s="9"/>
      <c r="MQ25" s="9"/>
      <c r="MR25" s="9"/>
      <c r="MS25" s="9"/>
      <c r="MT25" s="9"/>
      <c r="MU25" s="9"/>
      <c r="MV25" s="9"/>
      <c r="MW25" s="9"/>
      <c r="MX25" s="9"/>
      <c r="MY25" s="9"/>
      <c r="MZ25" s="9"/>
      <c r="NA25" s="9"/>
      <c r="NB25" s="9"/>
      <c r="NC25" s="9"/>
      <c r="ND25" s="9"/>
      <c r="NE25" s="9"/>
      <c r="NF25" s="9"/>
      <c r="NG25" s="9"/>
      <c r="NH25" s="9"/>
      <c r="NI25" s="9"/>
      <c r="NJ25" s="9"/>
      <c r="NK25" s="9"/>
      <c r="NL25" s="9"/>
      <c r="NM25" s="9"/>
      <c r="NN25" s="9"/>
      <c r="NO25" s="9"/>
      <c r="NP25" s="9"/>
      <c r="NQ25" s="9"/>
      <c r="NR25" s="9"/>
      <c r="NS25" s="9"/>
      <c r="NT25" s="9"/>
      <c r="NU25" s="9"/>
      <c r="NV25" s="9"/>
      <c r="NW25" s="9"/>
      <c r="NX25" s="9"/>
      <c r="NY25" s="9"/>
      <c r="NZ25" s="9"/>
      <c r="OA25" s="9"/>
      <c r="OB25" s="9"/>
      <c r="OC25" s="9"/>
      <c r="OD25" s="9"/>
      <c r="OE25" s="9"/>
      <c r="OF25" s="9"/>
      <c r="OG25" s="9"/>
      <c r="OH25" s="9"/>
      <c r="OI25" s="9"/>
      <c r="OJ25" s="9"/>
      <c r="OK25" s="9"/>
      <c r="OL25" s="9"/>
      <c r="OM25" s="9"/>
      <c r="ON25" s="9"/>
      <c r="OO25" s="9"/>
      <c r="OP25" s="9"/>
      <c r="OQ25" s="9"/>
      <c r="OR25" s="9"/>
      <c r="OS25" s="9"/>
      <c r="OT25" s="9"/>
      <c r="OU25" s="9"/>
      <c r="OV25" s="9"/>
      <c r="OW25" s="9"/>
      <c r="OX25" s="9"/>
      <c r="OY25" s="9"/>
      <c r="OZ25" s="9"/>
      <c r="PA25" s="9"/>
      <c r="PB25" s="9"/>
      <c r="PC25" s="9"/>
      <c r="PD25" s="9"/>
      <c r="PE25" s="9"/>
      <c r="PF25" s="9"/>
      <c r="PG25" s="9"/>
      <c r="PH25" s="9"/>
      <c r="PI25" s="9"/>
      <c r="PJ25" s="9"/>
      <c r="PK25" s="9"/>
      <c r="PL25" s="9"/>
      <c r="PM25" s="9"/>
      <c r="PN25" s="9"/>
      <c r="PO25" s="9"/>
      <c r="PP25" s="9"/>
      <c r="PQ25" s="9"/>
      <c r="PR25" s="9"/>
      <c r="PS25" s="9"/>
      <c r="PT25" s="9"/>
      <c r="PU25" s="9"/>
      <c r="PV25" s="9"/>
      <c r="PW25" s="9"/>
      <c r="PX25" s="9"/>
      <c r="PY25" s="9"/>
      <c r="PZ25" s="9"/>
      <c r="QA25" s="9"/>
      <c r="QB25" s="9"/>
      <c r="QC25" s="9"/>
      <c r="QD25" s="9"/>
      <c r="QE25" s="9"/>
      <c r="QF25" s="9"/>
      <c r="QG25" s="9"/>
      <c r="QH25" s="9"/>
      <c r="QI25" s="9"/>
      <c r="QJ25" s="9"/>
      <c r="QK25" s="9"/>
      <c r="QL25" s="9"/>
      <c r="QM25" s="9"/>
      <c r="QN25" s="9"/>
      <c r="QO25" s="9"/>
      <c r="QP25" s="9"/>
      <c r="QQ25" s="9"/>
      <c r="QR25" s="9"/>
      <c r="QS25" s="9"/>
      <c r="QT25" s="9"/>
      <c r="QU25" s="9"/>
      <c r="QV25" s="9"/>
      <c r="QW25" s="9"/>
      <c r="QX25" s="9"/>
      <c r="QY25" s="9"/>
      <c r="QZ25" s="9"/>
      <c r="RA25" s="9"/>
      <c r="RB25" s="9"/>
      <c r="RC25" s="9"/>
      <c r="RD25" s="9"/>
      <c r="RE25" s="9"/>
      <c r="RF25" s="9"/>
      <c r="RG25" s="9"/>
      <c r="RH25" s="9"/>
      <c r="RI25" s="9"/>
      <c r="RJ25" s="9"/>
      <c r="RK25" s="9"/>
      <c r="RL25" s="9"/>
      <c r="RM25" s="9"/>
      <c r="RN25" s="9"/>
      <c r="RO25" s="9"/>
      <c r="RP25" s="9"/>
      <c r="RQ25" s="9"/>
      <c r="RR25" s="9"/>
      <c r="RS25" s="9"/>
      <c r="RT25" s="9"/>
      <c r="RU25" s="9"/>
      <c r="RV25" s="9"/>
      <c r="RW25" s="9"/>
      <c r="RX25" s="9"/>
      <c r="RY25" s="9"/>
      <c r="RZ25" s="9"/>
      <c r="SA25" s="9"/>
      <c r="SB25" s="9"/>
      <c r="SC25" s="9"/>
      <c r="SD25" s="9"/>
      <c r="SE25" s="9"/>
      <c r="SF25" s="9"/>
      <c r="SG25" s="9"/>
      <c r="SH25" s="9"/>
      <c r="SI25" s="9"/>
      <c r="SJ25" s="9"/>
      <c r="SK25" s="9"/>
      <c r="SL25" s="9"/>
      <c r="SM25" s="9"/>
      <c r="SN25" s="9"/>
      <c r="SO25" s="9"/>
      <c r="SP25" s="9"/>
      <c r="SQ25" s="9"/>
      <c r="SR25" s="9"/>
      <c r="SS25" s="9"/>
      <c r="ST25" s="9"/>
      <c r="SU25" s="9"/>
      <c r="SV25" s="9"/>
      <c r="SW25" s="9"/>
      <c r="SX25" s="9"/>
      <c r="SY25" s="9"/>
      <c r="SZ25" s="9"/>
      <c r="TA25" s="9"/>
      <c r="TB25" s="9"/>
      <c r="TC25" s="9"/>
      <c r="TD25" s="9"/>
      <c r="TE25" s="9"/>
      <c r="TF25" s="9"/>
      <c r="TG25" s="9"/>
      <c r="TH25" s="9"/>
      <c r="TI25" s="9"/>
      <c r="TJ25" s="9"/>
      <c r="TK25" s="9"/>
      <c r="TL25" s="9"/>
      <c r="TM25" s="9"/>
      <c r="TN25" s="9"/>
      <c r="TO25" s="9"/>
      <c r="TP25" s="9"/>
      <c r="TQ25" s="9"/>
      <c r="TR25" s="9"/>
      <c r="TS25" s="9"/>
      <c r="TT25" s="9"/>
      <c r="TU25" s="9"/>
      <c r="TV25" s="9"/>
      <c r="TW25" s="9"/>
      <c r="TX25" s="9"/>
      <c r="TY25" s="9"/>
      <c r="TZ25" s="9"/>
      <c r="UA25" s="9"/>
      <c r="UB25" s="9"/>
      <c r="UC25" s="9"/>
      <c r="UD25" s="9"/>
      <c r="UE25" s="9"/>
      <c r="UF25" s="9"/>
      <c r="UG25" s="9"/>
      <c r="UH25" s="9"/>
      <c r="UI25" s="9"/>
      <c r="UJ25" s="9"/>
      <c r="UK25" s="9"/>
      <c r="UL25" s="9"/>
      <c r="UM25" s="9"/>
    </row>
    <row r="26" spans="1:559" s="133" customFormat="1" ht="11.25" customHeight="1">
      <c r="A26" s="50"/>
      <c r="B26" s="10"/>
      <c r="C26" s="10"/>
      <c r="D26" s="50"/>
      <c r="E26" s="50"/>
      <c r="F26" s="50"/>
      <c r="G26" s="50"/>
      <c r="H26" s="50"/>
      <c r="I26" s="50"/>
      <c r="J26" s="50"/>
      <c r="K26" s="277" t="s">
        <v>1699</v>
      </c>
      <c r="L26" s="46"/>
      <c r="M26" s="357" t="s">
        <v>1703</v>
      </c>
      <c r="N26" s="357"/>
      <c r="O26" s="357"/>
      <c r="P26" s="8"/>
      <c r="Q26" s="275" t="str">
        <f>IF(ISERROR(VLOOKUP(P26,Tools!$D$11:$J$57,7,FALSE)),"",VLOOKUP(P26,Tools!$D$11:$J$57,7,FALSE))</f>
        <v/>
      </c>
      <c r="R26" s="275">
        <v>2</v>
      </c>
      <c r="S26" s="216">
        <v>44258</v>
      </c>
      <c r="T26" s="8">
        <v>3</v>
      </c>
      <c r="U26" s="8" t="s">
        <v>998</v>
      </c>
      <c r="V26" s="275">
        <f>IF(U26=dur_type_d,T26,IF(U26=dur_type_w,IF(Work_D_Only_Bool,T26*5,T26*7),IF(U26=dur_type_m,IF(Work_D_Only_Bool,NETWORKDAYS.INTL(S26,DATE(YEAR(S26),MONTH(S26)+T26,DAY(S26)-1),WE_Days,Holiday_Days),DATE(YEAR(S26),MONTH(S26)+T26,DAY(S26))-S26),"ERROR")))</f>
        <v>3</v>
      </c>
      <c r="W26" s="49"/>
      <c r="X26" s="179">
        <f>IF(V26&gt;0,S26+V26-1,S26+V26+1)</f>
        <v>44260</v>
      </c>
      <c r="Y26" s="47">
        <f>IF(S26&lt;&gt;"",IF($GE$7,W26,X26),"")</f>
        <v>44260</v>
      </c>
      <c r="Z26" s="179">
        <f>IF(T26&gt;0,S26,Y26)</f>
        <v>44258</v>
      </c>
      <c r="AA26" s="179">
        <f>IF(T26&gt;0,Y26,S26)</f>
        <v>44260</v>
      </c>
      <c r="AB26" s="48">
        <v>0.8</v>
      </c>
      <c r="AC26" s="179">
        <f>INT(Z26+AB26*(AA26-Z26))</f>
        <v>44259</v>
      </c>
      <c r="AD26" s="204">
        <f>IF(AND(AB26&lt;1,AC26&lt;$DC$7),0,1)</f>
        <v>0</v>
      </c>
      <c r="AE26" s="49"/>
      <c r="AF26" s="49"/>
      <c r="AG26" s="49"/>
      <c r="AH26" s="49"/>
      <c r="AI26" s="49"/>
      <c r="AJ26" s="224"/>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B26" s="9"/>
      <c r="JC26" s="9"/>
      <c r="JD26" s="9"/>
      <c r="JE26" s="9"/>
      <c r="JF26" s="9"/>
      <c r="JG26" s="9"/>
      <c r="JH26" s="9"/>
      <c r="JI26" s="9"/>
      <c r="JJ26" s="9"/>
      <c r="JK26" s="9"/>
      <c r="JL26" s="9"/>
      <c r="JM26" s="9"/>
      <c r="JN26" s="9"/>
      <c r="JO26" s="9"/>
      <c r="JP26" s="9"/>
      <c r="JQ26" s="9"/>
      <c r="JR26" s="9"/>
      <c r="JS26" s="9"/>
      <c r="JT26" s="9"/>
      <c r="JU26" s="9"/>
      <c r="JV26" s="9"/>
      <c r="JW26" s="9"/>
      <c r="JX26" s="9"/>
      <c r="JY26" s="9"/>
      <c r="JZ26" s="9"/>
      <c r="KA26" s="9"/>
      <c r="KB26" s="9"/>
      <c r="KC26" s="9"/>
      <c r="KD26" s="9"/>
      <c r="KE26" s="9"/>
      <c r="KF26" s="9"/>
      <c r="KG26" s="9"/>
      <c r="KH26" s="9"/>
      <c r="KI26" s="9"/>
      <c r="KJ26" s="9"/>
      <c r="KK26" s="9"/>
      <c r="KL26" s="9"/>
      <c r="KM26" s="9"/>
      <c r="KN26" s="9"/>
      <c r="KO26" s="9"/>
      <c r="KP26" s="9"/>
      <c r="KQ26" s="9"/>
      <c r="KR26" s="9"/>
      <c r="KS26" s="9"/>
      <c r="KT26" s="9"/>
      <c r="KU26" s="9"/>
      <c r="KV26" s="9"/>
      <c r="KW26" s="9"/>
      <c r="KX26" s="9"/>
      <c r="KY26" s="9"/>
      <c r="KZ26" s="9"/>
      <c r="LA26" s="9"/>
      <c r="LB26" s="9"/>
      <c r="LC26" s="9"/>
      <c r="LD26" s="9"/>
      <c r="LE26" s="9"/>
      <c r="LF26" s="9"/>
      <c r="LG26" s="9"/>
      <c r="LH26" s="9"/>
      <c r="LI26" s="9"/>
      <c r="LJ26" s="9"/>
      <c r="LK26" s="9"/>
      <c r="LL26" s="9"/>
      <c r="LM26" s="9"/>
      <c r="LN26" s="9"/>
      <c r="LO26" s="9"/>
      <c r="LP26" s="9"/>
      <c r="LQ26" s="9"/>
      <c r="LR26" s="9"/>
      <c r="LS26" s="9"/>
      <c r="LT26" s="9"/>
      <c r="LU26" s="9"/>
      <c r="LV26" s="9"/>
      <c r="LW26" s="9"/>
      <c r="LX26" s="9"/>
      <c r="LY26" s="9"/>
      <c r="LZ26" s="9"/>
      <c r="MA26" s="9"/>
      <c r="MB26" s="9"/>
      <c r="MC26" s="9"/>
      <c r="MD26" s="9"/>
      <c r="ME26" s="9"/>
      <c r="MF26" s="9"/>
      <c r="MG26" s="9"/>
      <c r="MH26" s="9"/>
      <c r="MI26" s="9"/>
      <c r="MJ26" s="9"/>
      <c r="MK26" s="9"/>
      <c r="ML26" s="9"/>
      <c r="MM26" s="9"/>
      <c r="MN26" s="9"/>
      <c r="MO26" s="9"/>
      <c r="MP26" s="9"/>
      <c r="MQ26" s="9"/>
      <c r="MR26" s="9"/>
      <c r="MS26" s="9"/>
      <c r="MT26" s="9"/>
      <c r="MU26" s="9"/>
      <c r="MV26" s="9"/>
      <c r="MW26" s="9"/>
      <c r="MX26" s="9"/>
      <c r="MY26" s="9"/>
      <c r="MZ26" s="9"/>
      <c r="NA26" s="9"/>
      <c r="NB26" s="9"/>
      <c r="NC26" s="9"/>
      <c r="ND26" s="9"/>
      <c r="NE26" s="9"/>
      <c r="NF26" s="9"/>
      <c r="NG26" s="9"/>
      <c r="NH26" s="9"/>
      <c r="NI26" s="9"/>
      <c r="NJ26" s="9"/>
      <c r="NK26" s="9"/>
      <c r="NL26" s="9"/>
      <c r="NM26" s="9"/>
      <c r="NN26" s="9"/>
      <c r="NO26" s="9"/>
      <c r="NP26" s="9"/>
      <c r="NQ26" s="9"/>
      <c r="NR26" s="9"/>
      <c r="NS26" s="9"/>
      <c r="NT26" s="9"/>
      <c r="NU26" s="9"/>
      <c r="NV26" s="9"/>
      <c r="NW26" s="9"/>
      <c r="NX26" s="9"/>
      <c r="NY26" s="9"/>
      <c r="NZ26" s="9"/>
      <c r="OA26" s="9"/>
      <c r="OB26" s="9"/>
      <c r="OC26" s="9"/>
      <c r="OD26" s="9"/>
      <c r="OE26" s="9"/>
      <c r="OF26" s="9"/>
      <c r="OG26" s="9"/>
      <c r="OH26" s="9"/>
      <c r="OI26" s="9"/>
      <c r="OJ26" s="9"/>
      <c r="OK26" s="9"/>
      <c r="OL26" s="9"/>
      <c r="OM26" s="9"/>
      <c r="ON26" s="9"/>
      <c r="OO26" s="9"/>
      <c r="OP26" s="9"/>
      <c r="OQ26" s="9"/>
      <c r="OR26" s="9"/>
      <c r="OS26" s="9"/>
      <c r="OT26" s="9"/>
      <c r="OU26" s="9"/>
      <c r="OV26" s="9"/>
      <c r="OW26" s="9"/>
      <c r="OX26" s="9"/>
      <c r="OY26" s="9"/>
      <c r="OZ26" s="9"/>
      <c r="PA26" s="9"/>
      <c r="PB26" s="9"/>
      <c r="PC26" s="9"/>
      <c r="PD26" s="9"/>
      <c r="PE26" s="9"/>
      <c r="PF26" s="9"/>
      <c r="PG26" s="9"/>
      <c r="PH26" s="9"/>
      <c r="PI26" s="9"/>
      <c r="PJ26" s="9"/>
      <c r="PK26" s="9"/>
      <c r="PL26" s="9"/>
      <c r="PM26" s="9"/>
      <c r="PN26" s="9"/>
      <c r="PO26" s="9"/>
      <c r="PP26" s="9"/>
      <c r="PQ26" s="9"/>
      <c r="PR26" s="9"/>
      <c r="PS26" s="9"/>
      <c r="PT26" s="9"/>
      <c r="PU26" s="9"/>
      <c r="PV26" s="9"/>
      <c r="PW26" s="9"/>
      <c r="PX26" s="9"/>
      <c r="PY26" s="9"/>
      <c r="PZ26" s="9"/>
      <c r="QA26" s="9"/>
      <c r="QB26" s="9"/>
      <c r="QC26" s="9"/>
      <c r="QD26" s="9"/>
      <c r="QE26" s="9"/>
      <c r="QF26" s="9"/>
      <c r="QG26" s="9"/>
      <c r="QH26" s="9"/>
      <c r="QI26" s="9"/>
      <c r="QJ26" s="9"/>
      <c r="QK26" s="9"/>
      <c r="QL26" s="9"/>
      <c r="QM26" s="9"/>
      <c r="QN26" s="9"/>
      <c r="QO26" s="9"/>
      <c r="QP26" s="9"/>
      <c r="QQ26" s="9"/>
      <c r="QR26" s="9"/>
      <c r="QS26" s="9"/>
      <c r="QT26" s="9"/>
      <c r="QU26" s="9"/>
      <c r="QV26" s="9"/>
      <c r="QW26" s="9"/>
      <c r="QX26" s="9"/>
      <c r="QY26" s="9"/>
      <c r="QZ26" s="9"/>
      <c r="RA26" s="9"/>
      <c r="RB26" s="9"/>
      <c r="RC26" s="9"/>
      <c r="RD26" s="9"/>
      <c r="RE26" s="9"/>
      <c r="RF26" s="9"/>
      <c r="RG26" s="9"/>
      <c r="RH26" s="9"/>
      <c r="RI26" s="9"/>
      <c r="RJ26" s="9"/>
      <c r="RK26" s="9"/>
      <c r="RL26" s="9"/>
      <c r="RM26" s="9"/>
      <c r="RN26" s="9"/>
      <c r="RO26" s="9"/>
      <c r="RP26" s="9"/>
      <c r="RQ26" s="9"/>
      <c r="RR26" s="9"/>
      <c r="RS26" s="9"/>
      <c r="RT26" s="9"/>
      <c r="RU26" s="9"/>
      <c r="RV26" s="9"/>
      <c r="RW26" s="9"/>
      <c r="RX26" s="9"/>
      <c r="RY26" s="9"/>
      <c r="RZ26" s="9"/>
      <c r="SA26" s="9"/>
      <c r="SB26" s="9"/>
      <c r="SC26" s="9"/>
      <c r="SD26" s="9"/>
      <c r="SE26" s="9"/>
      <c r="SF26" s="9"/>
      <c r="SG26" s="9"/>
      <c r="SH26" s="9"/>
      <c r="SI26" s="9"/>
      <c r="SJ26" s="9"/>
      <c r="SK26" s="9"/>
      <c r="SL26" s="9"/>
      <c r="SM26" s="9"/>
      <c r="SN26" s="9"/>
      <c r="SO26" s="9"/>
      <c r="SP26" s="9"/>
      <c r="SQ26" s="9"/>
      <c r="SR26" s="9"/>
      <c r="SS26" s="9"/>
      <c r="ST26" s="9"/>
      <c r="SU26" s="9"/>
      <c r="SV26" s="9"/>
      <c r="SW26" s="9"/>
      <c r="SX26" s="9"/>
      <c r="SY26" s="9"/>
      <c r="SZ26" s="9"/>
      <c r="TA26" s="9"/>
      <c r="TB26" s="9"/>
      <c r="TC26" s="9"/>
      <c r="TD26" s="9"/>
      <c r="TE26" s="9"/>
      <c r="TF26" s="9"/>
      <c r="TG26" s="9"/>
      <c r="TH26" s="9"/>
      <c r="TI26" s="9"/>
      <c r="TJ26" s="9"/>
      <c r="TK26" s="9"/>
      <c r="TL26" s="9"/>
      <c r="TM26" s="9"/>
      <c r="TN26" s="9"/>
      <c r="TO26" s="9"/>
      <c r="TP26" s="9"/>
      <c r="TQ26" s="9"/>
      <c r="TR26" s="9"/>
      <c r="TS26" s="9"/>
      <c r="TT26" s="9"/>
      <c r="TU26" s="9"/>
      <c r="TV26" s="9"/>
      <c r="TW26" s="9"/>
      <c r="TX26" s="9"/>
      <c r="TY26" s="9"/>
      <c r="TZ26" s="9"/>
      <c r="UA26" s="9"/>
      <c r="UB26" s="9"/>
      <c r="UC26" s="9"/>
      <c r="UD26" s="9"/>
      <c r="UE26" s="9"/>
      <c r="UF26" s="9"/>
      <c r="UG26" s="9"/>
      <c r="UH26" s="9"/>
      <c r="UI26" s="9"/>
      <c r="UJ26" s="9"/>
      <c r="UK26" s="9"/>
      <c r="UL26" s="9"/>
      <c r="UM26" s="9"/>
    </row>
    <row r="27" spans="1:559" s="133" customFormat="1" ht="15">
      <c r="A27" s="22"/>
      <c r="B27" s="22"/>
      <c r="C27" s="22"/>
      <c r="D27" s="22"/>
      <c r="E27" s="22"/>
      <c r="F27" s="22"/>
      <c r="G27" s="22"/>
      <c r="H27" s="22"/>
      <c r="I27" s="22"/>
      <c r="J27" s="50"/>
      <c r="K27" s="59">
        <v>2</v>
      </c>
      <c r="L27" s="202"/>
      <c r="M27" s="356" t="s">
        <v>1704</v>
      </c>
      <c r="N27" s="356"/>
      <c r="O27" s="356"/>
      <c r="P27" s="287"/>
      <c r="Q27" s="274"/>
      <c r="R27" s="274">
        <v>1</v>
      </c>
      <c r="S27" s="284">
        <f>MIN(Z28:Z34)</f>
        <v>44259</v>
      </c>
      <c r="T27" s="278">
        <f>Y27-S27+1</f>
        <v>30</v>
      </c>
      <c r="U27" s="272"/>
      <c r="V27" s="288"/>
      <c r="W27" s="203"/>
      <c r="X27" s="178">
        <f>IF(T27&gt;0,S27+T27-1,S27+T27+1)</f>
        <v>44288</v>
      </c>
      <c r="Y27" s="43">
        <f>MAX(AA28:AA34)</f>
        <v>44288</v>
      </c>
      <c r="Z27" s="178">
        <f t="shared" si="121"/>
        <v>44259</v>
      </c>
      <c r="AA27" s="178">
        <f t="shared" si="122"/>
        <v>44288</v>
      </c>
      <c r="AB27" s="45">
        <f>SUMPRODUCT(AA28:AA34,AB28:AB34)/SUM(AA28:AA34)</f>
        <v>0.17137879188740976</v>
      </c>
      <c r="AC27" s="178">
        <f>INT(Z27+AB27*(AA27-Z27))</f>
        <v>44263</v>
      </c>
      <c r="AD27" s="205">
        <f t="shared" si="123"/>
        <v>0</v>
      </c>
      <c r="AE27" s="203"/>
      <c r="AF27" s="203"/>
      <c r="AG27" s="203"/>
      <c r="AH27" s="203"/>
      <c r="AI27" s="203"/>
      <c r="AJ27" s="20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6"/>
      <c r="EA27" s="6"/>
      <c r="EB27" s="6"/>
      <c r="EC27" s="6"/>
      <c r="ED27" s="6"/>
      <c r="EE27" s="6"/>
      <c r="EF27" s="6"/>
      <c r="EG27" s="6"/>
      <c r="EH27" s="6"/>
      <c r="EI27" s="6"/>
      <c r="EJ27" s="6"/>
      <c r="EK27" s="6"/>
      <c r="EL27" s="6"/>
      <c r="EM27" s="6"/>
      <c r="EN27" s="6"/>
      <c r="EO27" s="6"/>
      <c r="EP27" s="6"/>
      <c r="EQ27" s="6"/>
      <c r="ER27" s="6"/>
      <c r="ES27" s="6"/>
      <c r="ET27" s="6"/>
      <c r="EU27" s="6"/>
      <c r="EV27" s="6"/>
      <c r="EW27" s="6"/>
      <c r="EX27" s="6"/>
      <c r="EY27" s="6"/>
      <c r="EZ27" s="6"/>
      <c r="FA27" s="6"/>
      <c r="FB27" s="6"/>
      <c r="FC27" s="6"/>
      <c r="FD27" s="6"/>
      <c r="FE27" s="6"/>
      <c r="FF27" s="6"/>
      <c r="FG27" s="6"/>
      <c r="FH27" s="6"/>
      <c r="FI27" s="6"/>
      <c r="FJ27" s="6"/>
      <c r="FK27" s="6"/>
      <c r="FL27" s="6"/>
      <c r="FM27" s="6"/>
      <c r="FN27" s="6"/>
      <c r="FO27" s="6"/>
      <c r="FP27" s="6"/>
      <c r="FQ27" s="6"/>
      <c r="FR27" s="6"/>
      <c r="FS27" s="6"/>
      <c r="FT27" s="6"/>
      <c r="FU27" s="6"/>
      <c r="FV27" s="6"/>
      <c r="FW27" s="6"/>
      <c r="FX27" s="6"/>
      <c r="FY27" s="6"/>
      <c r="FZ27" s="6"/>
      <c r="GA27" s="6"/>
      <c r="GB27" s="6"/>
      <c r="GC27" s="6"/>
      <c r="GD27" s="6"/>
      <c r="GE27" s="6"/>
      <c r="GF27" s="6"/>
      <c r="GG27" s="6"/>
      <c r="GH27" s="6"/>
      <c r="GI27" s="6"/>
      <c r="GJ27" s="6"/>
      <c r="GK27" s="6"/>
      <c r="GL27" s="6"/>
      <c r="GM27" s="6"/>
      <c r="GN27" s="6"/>
      <c r="GO27" s="6"/>
      <c r="GP27" s="6"/>
      <c r="GQ27" s="6"/>
      <c r="GR27" s="6"/>
      <c r="GS27" s="6"/>
      <c r="GT27" s="6"/>
      <c r="GU27" s="6"/>
      <c r="GV27" s="6"/>
      <c r="GW27" s="6"/>
      <c r="GX27" s="6"/>
      <c r="GY27" s="6"/>
      <c r="GZ27" s="6"/>
      <c r="HA27" s="6"/>
      <c r="HB27" s="6"/>
      <c r="HC27" s="6"/>
      <c r="HD27" s="6"/>
      <c r="HE27" s="6"/>
      <c r="HF27" s="6"/>
      <c r="HG27" s="6"/>
      <c r="HH27" s="6"/>
      <c r="HI27" s="6"/>
      <c r="HJ27" s="6"/>
      <c r="HK27" s="6"/>
      <c r="HL27" s="6"/>
      <c r="HM27" s="6"/>
      <c r="HN27" s="6"/>
      <c r="HO27" s="6"/>
      <c r="HP27" s="6"/>
      <c r="HQ27" s="6"/>
      <c r="HR27" s="6"/>
      <c r="HS27" s="6"/>
      <c r="HT27" s="6"/>
      <c r="HU27" s="6"/>
      <c r="HV27" s="6"/>
      <c r="HW27" s="6"/>
      <c r="HX27" s="6"/>
      <c r="HY27" s="6"/>
      <c r="HZ27" s="6"/>
      <c r="IA27" s="6"/>
      <c r="IB27" s="6"/>
      <c r="IC27" s="6"/>
      <c r="ID27" s="6"/>
      <c r="IE27" s="6"/>
      <c r="IF27" s="6"/>
      <c r="IG27" s="6"/>
      <c r="IH27" s="6"/>
      <c r="II27" s="6"/>
      <c r="IJ27" s="6"/>
      <c r="IK27" s="6"/>
      <c r="IL27" s="6"/>
      <c r="IM27" s="6"/>
      <c r="IN27" s="6"/>
      <c r="IO27" s="6"/>
      <c r="IP27" s="6"/>
      <c r="IQ27" s="6"/>
      <c r="IR27" s="6"/>
      <c r="IS27" s="6"/>
      <c r="IT27" s="6"/>
      <c r="IU27" s="6"/>
      <c r="IV27" s="6"/>
      <c r="IW27" s="6"/>
      <c r="IX27" s="6"/>
      <c r="IY27" s="6"/>
      <c r="IZ27" s="6"/>
      <c r="JA27" s="6"/>
      <c r="JB27" s="6"/>
      <c r="JC27" s="6"/>
      <c r="JD27" s="6"/>
      <c r="JE27" s="6"/>
      <c r="JF27" s="6"/>
      <c r="JG27" s="6"/>
      <c r="JH27" s="6"/>
      <c r="JI27" s="6"/>
      <c r="JJ27" s="6"/>
      <c r="JK27" s="6"/>
      <c r="JL27" s="6"/>
      <c r="JM27" s="6"/>
      <c r="JN27" s="6"/>
      <c r="JO27" s="6"/>
      <c r="JP27" s="6"/>
      <c r="JQ27" s="6"/>
      <c r="JR27" s="6"/>
      <c r="JS27" s="6"/>
      <c r="JT27" s="6"/>
      <c r="JU27" s="6"/>
      <c r="JV27" s="6"/>
      <c r="JW27" s="6"/>
      <c r="JX27" s="6"/>
      <c r="JY27" s="6"/>
      <c r="JZ27" s="6"/>
      <c r="KA27" s="6"/>
      <c r="KB27" s="6"/>
      <c r="KC27" s="6"/>
      <c r="KD27" s="6"/>
      <c r="KE27" s="6"/>
      <c r="KF27" s="6"/>
      <c r="KG27" s="6"/>
      <c r="KH27" s="6"/>
      <c r="KI27" s="6"/>
      <c r="KJ27" s="6"/>
      <c r="KK27" s="6"/>
      <c r="KL27" s="6"/>
      <c r="KM27" s="6"/>
      <c r="KN27" s="6"/>
      <c r="KO27" s="6"/>
      <c r="KP27" s="6"/>
      <c r="KQ27" s="6"/>
      <c r="KR27" s="6"/>
      <c r="KS27" s="6"/>
      <c r="KT27" s="6"/>
      <c r="KU27" s="6"/>
      <c r="KV27" s="6"/>
      <c r="KW27" s="6"/>
      <c r="KX27" s="6"/>
      <c r="KY27" s="6"/>
      <c r="KZ27" s="6"/>
      <c r="LA27" s="6"/>
      <c r="LB27" s="6"/>
      <c r="LC27" s="6"/>
      <c r="LD27" s="6"/>
      <c r="LE27" s="6"/>
      <c r="LF27" s="6"/>
      <c r="LG27" s="6"/>
      <c r="LH27" s="6"/>
      <c r="LI27" s="6"/>
      <c r="LJ27" s="6"/>
      <c r="LK27" s="6"/>
      <c r="LL27" s="6"/>
      <c r="LM27" s="6"/>
      <c r="LN27" s="6"/>
      <c r="LO27" s="6"/>
      <c r="LP27" s="6"/>
      <c r="LQ27" s="6"/>
      <c r="LR27" s="6"/>
      <c r="LS27" s="6"/>
      <c r="LT27" s="6"/>
      <c r="LU27" s="6"/>
      <c r="LV27" s="6"/>
      <c r="LW27" s="6"/>
      <c r="LX27" s="6"/>
      <c r="LY27" s="6"/>
      <c r="LZ27" s="6"/>
      <c r="MA27" s="6"/>
      <c r="MB27" s="6"/>
      <c r="MC27" s="6"/>
      <c r="MD27" s="6"/>
      <c r="ME27" s="6"/>
      <c r="MF27" s="6"/>
      <c r="MG27" s="6"/>
      <c r="MH27" s="6"/>
      <c r="MI27" s="6"/>
      <c r="MJ27" s="6"/>
      <c r="MK27" s="6"/>
      <c r="ML27" s="6"/>
      <c r="MM27" s="6"/>
      <c r="MN27" s="6"/>
      <c r="MO27" s="6"/>
      <c r="MP27" s="6"/>
      <c r="MQ27" s="6"/>
      <c r="MR27" s="6"/>
      <c r="MS27" s="6"/>
      <c r="MT27" s="6"/>
      <c r="MU27" s="6"/>
      <c r="MV27" s="6"/>
      <c r="MW27" s="6"/>
      <c r="MX27" s="6"/>
      <c r="MY27" s="6"/>
      <c r="MZ27" s="6"/>
      <c r="NA27" s="6"/>
      <c r="NB27" s="6"/>
      <c r="NC27" s="6"/>
      <c r="ND27" s="6"/>
      <c r="NE27" s="6"/>
      <c r="NF27" s="6"/>
      <c r="NG27" s="6"/>
      <c r="NH27" s="6"/>
      <c r="NI27" s="6"/>
      <c r="NJ27" s="6"/>
      <c r="NK27" s="6"/>
      <c r="NL27" s="6"/>
      <c r="NM27" s="6"/>
      <c r="NN27" s="6"/>
      <c r="NO27" s="6"/>
      <c r="NP27" s="6"/>
      <c r="NQ27" s="6"/>
      <c r="NR27" s="6"/>
      <c r="NS27" s="6"/>
      <c r="NT27" s="6"/>
      <c r="NU27" s="6"/>
      <c r="NV27" s="6"/>
      <c r="NW27" s="6"/>
      <c r="NX27" s="6"/>
      <c r="NY27" s="6"/>
      <c r="NZ27" s="6"/>
      <c r="OA27" s="6"/>
      <c r="OB27" s="6"/>
      <c r="OC27" s="6"/>
      <c r="OD27" s="6"/>
      <c r="OE27" s="6"/>
      <c r="OF27" s="6"/>
      <c r="OG27" s="6"/>
      <c r="OH27" s="6"/>
      <c r="OI27" s="6"/>
      <c r="OJ27" s="6"/>
      <c r="OK27" s="6"/>
      <c r="OL27" s="6"/>
      <c r="OM27" s="6"/>
      <c r="ON27" s="6"/>
      <c r="OO27" s="6"/>
      <c r="OP27" s="6"/>
      <c r="OQ27" s="6"/>
      <c r="OR27" s="6"/>
      <c r="OS27" s="6"/>
      <c r="OT27" s="6"/>
      <c r="OU27" s="6"/>
      <c r="OV27" s="6"/>
      <c r="OW27" s="6"/>
      <c r="OX27" s="6"/>
      <c r="OY27" s="6"/>
      <c r="OZ27" s="6"/>
      <c r="PA27" s="6"/>
      <c r="PB27" s="6"/>
      <c r="PC27" s="6"/>
      <c r="PD27" s="6"/>
      <c r="PE27" s="6"/>
      <c r="PF27" s="6"/>
      <c r="PG27" s="6"/>
      <c r="PH27" s="6"/>
      <c r="PI27" s="6"/>
      <c r="PJ27" s="6"/>
      <c r="PK27" s="6"/>
      <c r="PL27" s="6"/>
      <c r="PM27" s="6"/>
      <c r="PN27" s="6"/>
      <c r="PO27" s="6"/>
      <c r="PP27" s="6"/>
      <c r="PQ27" s="6"/>
      <c r="PR27" s="6"/>
      <c r="PS27" s="6"/>
      <c r="PT27" s="6"/>
      <c r="PU27" s="6"/>
      <c r="PV27" s="6"/>
      <c r="PW27" s="6"/>
      <c r="PX27" s="6"/>
      <c r="PY27" s="6"/>
      <c r="PZ27" s="6"/>
      <c r="QA27" s="6"/>
      <c r="QB27" s="6"/>
      <c r="QC27" s="6"/>
      <c r="QD27" s="6"/>
      <c r="QE27" s="6"/>
      <c r="QF27" s="6"/>
      <c r="QG27" s="6"/>
      <c r="QH27" s="6"/>
      <c r="QI27" s="6"/>
      <c r="QJ27" s="6"/>
      <c r="QK27" s="6"/>
      <c r="QL27" s="6"/>
      <c r="QM27" s="6"/>
      <c r="QN27" s="6"/>
      <c r="QO27" s="6"/>
      <c r="QP27" s="6"/>
      <c r="QQ27" s="6"/>
      <c r="QR27" s="6"/>
      <c r="QS27" s="6"/>
      <c r="QT27" s="6"/>
      <c r="QU27" s="6"/>
      <c r="QV27" s="6"/>
      <c r="QW27" s="6"/>
      <c r="QX27" s="6"/>
      <c r="QY27" s="6"/>
      <c r="QZ27" s="6"/>
      <c r="RA27" s="6"/>
      <c r="RB27" s="6"/>
      <c r="RC27" s="6"/>
      <c r="RD27" s="6"/>
      <c r="RE27" s="6"/>
      <c r="RF27" s="6"/>
      <c r="RG27" s="6"/>
      <c r="RH27" s="6"/>
      <c r="RI27" s="6"/>
      <c r="RJ27" s="6"/>
      <c r="RK27" s="6"/>
      <c r="RL27" s="6"/>
      <c r="RM27" s="6"/>
      <c r="RN27" s="6"/>
      <c r="RO27" s="6"/>
      <c r="RP27" s="6"/>
      <c r="RQ27" s="6"/>
      <c r="RR27" s="6"/>
      <c r="RS27" s="6"/>
      <c r="RT27" s="6"/>
      <c r="RU27" s="6"/>
      <c r="RV27" s="6"/>
      <c r="RW27" s="6"/>
      <c r="RX27" s="6"/>
      <c r="RY27" s="6"/>
      <c r="RZ27" s="6"/>
      <c r="SA27" s="6"/>
      <c r="SB27" s="6"/>
      <c r="SC27" s="6"/>
      <c r="SD27" s="6"/>
      <c r="SE27" s="6"/>
      <c r="SF27" s="6"/>
      <c r="SG27" s="6"/>
      <c r="SH27" s="6"/>
      <c r="SI27" s="6"/>
      <c r="SJ27" s="6"/>
      <c r="SK27" s="6"/>
      <c r="SL27" s="6"/>
      <c r="SM27" s="6"/>
      <c r="SN27" s="6"/>
      <c r="SO27" s="6"/>
      <c r="SP27" s="6"/>
      <c r="SQ27" s="6"/>
      <c r="SR27" s="6"/>
      <c r="SS27" s="6"/>
      <c r="ST27" s="6"/>
      <c r="SU27" s="6"/>
      <c r="SV27" s="6"/>
      <c r="SW27" s="6"/>
      <c r="SX27" s="6"/>
      <c r="SY27" s="6"/>
      <c r="SZ27" s="6"/>
      <c r="TA27" s="6"/>
      <c r="TB27" s="6"/>
      <c r="TC27" s="6"/>
      <c r="TD27" s="6"/>
      <c r="TE27" s="6"/>
      <c r="TF27" s="6"/>
      <c r="TG27" s="6"/>
      <c r="TH27" s="6"/>
      <c r="TI27" s="6"/>
      <c r="TJ27" s="6"/>
      <c r="TK27" s="6"/>
      <c r="TL27" s="6"/>
      <c r="TM27" s="6"/>
      <c r="TN27" s="6"/>
      <c r="TO27" s="6"/>
      <c r="TP27" s="6"/>
      <c r="TQ27" s="6"/>
      <c r="TR27" s="6"/>
      <c r="TS27" s="6"/>
      <c r="TT27" s="6"/>
      <c r="TU27" s="6"/>
      <c r="TV27" s="6"/>
      <c r="TW27" s="6"/>
      <c r="TX27" s="6"/>
      <c r="TY27" s="6"/>
      <c r="TZ27" s="6"/>
      <c r="UA27" s="6"/>
      <c r="UB27" s="6"/>
      <c r="UC27" s="6"/>
      <c r="UD27" s="6"/>
      <c r="UE27" s="6"/>
      <c r="UF27" s="6"/>
      <c r="UG27" s="6"/>
      <c r="UH27" s="6"/>
      <c r="UI27" s="6"/>
      <c r="UJ27" s="6"/>
      <c r="UK27" s="6"/>
      <c r="UL27" s="6"/>
      <c r="UM27" s="6"/>
    </row>
    <row r="28" spans="1:559" s="133" customFormat="1" ht="11.25" customHeight="1">
      <c r="A28" s="50"/>
      <c r="B28" s="10"/>
      <c r="C28" s="10"/>
      <c r="D28" s="50"/>
      <c r="E28" s="50"/>
      <c r="F28" s="50"/>
      <c r="G28" s="50"/>
      <c r="H28" s="50"/>
      <c r="I28" s="50"/>
      <c r="J28" s="50"/>
      <c r="K28" s="277" t="s">
        <v>551</v>
      </c>
      <c r="L28" s="46"/>
      <c r="M28" s="357" t="s">
        <v>1710</v>
      </c>
      <c r="N28" s="357"/>
      <c r="O28" s="357"/>
      <c r="P28" s="8"/>
      <c r="Q28" s="275" t="str">
        <f>IF(ISERROR(VLOOKUP(P28,Tools!$D$11:$J$57,7,FALSE)),"",VLOOKUP(P28,Tools!$D$11:$J$57,7,FALSE))</f>
        <v/>
      </c>
      <c r="R28" s="275">
        <v>2</v>
      </c>
      <c r="S28" s="216">
        <v>44259</v>
      </c>
      <c r="T28" s="8">
        <v>6</v>
      </c>
      <c r="U28" s="8" t="s">
        <v>998</v>
      </c>
      <c r="V28" s="275">
        <f>IF(U28=dur_type_d,T28,IF(U28=dur_type_w,IF(Work_D_Only_Bool,T28*5,T28*7),IF(U28=dur_type_m,IF(Work_D_Only_Bool,NETWORKDAYS.INTL(S28,DATE(YEAR(S28),MONTH(S28)+T28,DAY(S28)-1),WE_Days,Holiday_Days),DATE(YEAR(S28),MONTH(S28)+T28,DAY(S28))-S28),"ERROR")))</f>
        <v>6</v>
      </c>
      <c r="W28" s="49"/>
      <c r="X28" s="179">
        <f>IF(V28&gt;0,S28+V28-1,S28+V28+1)</f>
        <v>44264</v>
      </c>
      <c r="Y28" s="47">
        <f>IF(S28&lt;&gt;"",IF($GE$7,W28,X28),"")</f>
        <v>44264</v>
      </c>
      <c r="Z28" s="179">
        <f t="shared" si="121"/>
        <v>44259</v>
      </c>
      <c r="AA28" s="179">
        <f t="shared" si="122"/>
        <v>44264</v>
      </c>
      <c r="AB28" s="48">
        <v>0.8</v>
      </c>
      <c r="AC28" s="179">
        <f t="shared" ref="AC28:AC29" si="124">INT(Z28+AB28*(AA28-Z28))</f>
        <v>44263</v>
      </c>
      <c r="AD28" s="204">
        <f t="shared" si="123"/>
        <v>0</v>
      </c>
      <c r="AE28" s="49"/>
      <c r="AF28" s="49"/>
      <c r="AG28" s="49"/>
      <c r="AH28" s="49"/>
      <c r="AI28" s="49"/>
      <c r="AJ28" s="224"/>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C28" s="9"/>
      <c r="JD28" s="9"/>
      <c r="JE28" s="9"/>
      <c r="JF28" s="9"/>
      <c r="JG28" s="9"/>
      <c r="JH28" s="9"/>
      <c r="JI28" s="9"/>
      <c r="JJ28" s="9"/>
      <c r="JK28" s="9"/>
      <c r="JL28" s="9"/>
      <c r="JM28" s="9"/>
      <c r="JN28" s="9"/>
      <c r="JO28" s="9"/>
      <c r="JP28" s="9"/>
      <c r="JQ28" s="9"/>
      <c r="JR28" s="9"/>
      <c r="JS28" s="9"/>
      <c r="JT28" s="9"/>
      <c r="JU28" s="9"/>
      <c r="JV28" s="9"/>
      <c r="JW28" s="9"/>
      <c r="JX28" s="9"/>
      <c r="JY28" s="9"/>
      <c r="JZ28" s="9"/>
      <c r="KA28" s="9"/>
      <c r="KB28" s="9"/>
      <c r="KC28" s="9"/>
      <c r="KD28" s="9"/>
      <c r="KE28" s="9"/>
      <c r="KF28" s="9"/>
      <c r="KG28" s="9"/>
      <c r="KH28" s="9"/>
      <c r="KI28" s="9"/>
      <c r="KJ28" s="9"/>
      <c r="KK28" s="9"/>
      <c r="KL28" s="9"/>
      <c r="KM28" s="9"/>
      <c r="KN28" s="9"/>
      <c r="KO28" s="9"/>
      <c r="KP28" s="9"/>
      <c r="KQ28" s="9"/>
      <c r="KR28" s="9"/>
      <c r="KS28" s="9"/>
      <c r="KT28" s="9"/>
      <c r="KU28" s="9"/>
      <c r="KV28" s="9"/>
      <c r="KW28" s="9"/>
      <c r="KX28" s="9"/>
      <c r="KY28" s="9"/>
      <c r="KZ28" s="9"/>
      <c r="LA28" s="9"/>
      <c r="LB28" s="9"/>
      <c r="LC28" s="9"/>
      <c r="LD28" s="9"/>
      <c r="LE28" s="9"/>
      <c r="LF28" s="9"/>
      <c r="LG28" s="9"/>
      <c r="LH28" s="9"/>
      <c r="LI28" s="9"/>
      <c r="LJ28" s="9"/>
      <c r="LK28" s="9"/>
      <c r="LL28" s="9"/>
      <c r="LM28" s="9"/>
      <c r="LN28" s="9"/>
      <c r="LO28" s="9"/>
      <c r="LP28" s="9"/>
      <c r="LQ28" s="9"/>
      <c r="LR28" s="9"/>
      <c r="LS28" s="9"/>
      <c r="LT28" s="9"/>
      <c r="LU28" s="9"/>
      <c r="LV28" s="9"/>
      <c r="LW28" s="9"/>
      <c r="LX28" s="9"/>
      <c r="LY28" s="9"/>
      <c r="LZ28" s="9"/>
      <c r="MA28" s="9"/>
      <c r="MB28" s="9"/>
      <c r="MC28" s="9"/>
      <c r="MD28" s="9"/>
      <c r="ME28" s="9"/>
      <c r="MF28" s="9"/>
      <c r="MG28" s="9"/>
      <c r="MH28" s="9"/>
      <c r="MI28" s="9"/>
      <c r="MJ28" s="9"/>
      <c r="MK28" s="9"/>
      <c r="ML28" s="9"/>
      <c r="MM28" s="9"/>
      <c r="MN28" s="9"/>
      <c r="MO28" s="9"/>
      <c r="MP28" s="9"/>
      <c r="MQ28" s="9"/>
      <c r="MR28" s="9"/>
      <c r="MS28" s="9"/>
      <c r="MT28" s="9"/>
      <c r="MU28" s="9"/>
      <c r="MV28" s="9"/>
      <c r="MW28" s="9"/>
      <c r="MX28" s="9"/>
      <c r="MY28" s="9"/>
      <c r="MZ28" s="9"/>
      <c r="NA28" s="9"/>
      <c r="NB28" s="9"/>
      <c r="NC28" s="9"/>
      <c r="ND28" s="9"/>
      <c r="NE28" s="9"/>
      <c r="NF28" s="9"/>
      <c r="NG28" s="9"/>
      <c r="NH28" s="9"/>
      <c r="NI28" s="9"/>
      <c r="NJ28" s="9"/>
      <c r="NK28" s="9"/>
      <c r="NL28" s="9"/>
      <c r="NM28" s="9"/>
      <c r="NN28" s="9"/>
      <c r="NO28" s="9"/>
      <c r="NP28" s="9"/>
      <c r="NQ28" s="9"/>
      <c r="NR28" s="9"/>
      <c r="NS28" s="9"/>
      <c r="NT28" s="9"/>
      <c r="NU28" s="9"/>
      <c r="NV28" s="9"/>
      <c r="NW28" s="9"/>
      <c r="NX28" s="9"/>
      <c r="NY28" s="9"/>
      <c r="NZ28" s="9"/>
      <c r="OA28" s="9"/>
      <c r="OB28" s="9"/>
      <c r="OC28" s="9"/>
      <c r="OD28" s="9"/>
      <c r="OE28" s="9"/>
      <c r="OF28" s="9"/>
      <c r="OG28" s="9"/>
      <c r="OH28" s="9"/>
      <c r="OI28" s="9"/>
      <c r="OJ28" s="9"/>
      <c r="OK28" s="9"/>
      <c r="OL28" s="9"/>
      <c r="OM28" s="9"/>
      <c r="ON28" s="9"/>
      <c r="OO28" s="9"/>
      <c r="OP28" s="9"/>
      <c r="OQ28" s="9"/>
      <c r="OR28" s="9"/>
      <c r="OS28" s="9"/>
      <c r="OT28" s="9"/>
      <c r="OU28" s="9"/>
      <c r="OV28" s="9"/>
      <c r="OW28" s="9"/>
      <c r="OX28" s="9"/>
      <c r="OY28" s="9"/>
      <c r="OZ28" s="9"/>
      <c r="PA28" s="9"/>
      <c r="PB28" s="9"/>
      <c r="PC28" s="9"/>
      <c r="PD28" s="9"/>
      <c r="PE28" s="9"/>
      <c r="PF28" s="9"/>
      <c r="PG28" s="9"/>
      <c r="PH28" s="9"/>
      <c r="PI28" s="9"/>
      <c r="PJ28" s="9"/>
      <c r="PK28" s="9"/>
      <c r="PL28" s="9"/>
      <c r="PM28" s="9"/>
      <c r="PN28" s="9"/>
      <c r="PO28" s="9"/>
      <c r="PP28" s="9"/>
      <c r="PQ28" s="9"/>
      <c r="PR28" s="9"/>
      <c r="PS28" s="9"/>
      <c r="PT28" s="9"/>
      <c r="PU28" s="9"/>
      <c r="PV28" s="9"/>
      <c r="PW28" s="9"/>
      <c r="PX28" s="9"/>
      <c r="PY28" s="9"/>
      <c r="PZ28" s="9"/>
      <c r="QA28" s="9"/>
      <c r="QB28" s="9"/>
      <c r="QC28" s="9"/>
      <c r="QD28" s="9"/>
      <c r="QE28" s="9"/>
      <c r="QF28" s="9"/>
      <c r="QG28" s="9"/>
      <c r="QH28" s="9"/>
      <c r="QI28" s="9"/>
      <c r="QJ28" s="9"/>
      <c r="QK28" s="9"/>
      <c r="QL28" s="9"/>
      <c r="QM28" s="9"/>
      <c r="QN28" s="9"/>
      <c r="QO28" s="9"/>
      <c r="QP28" s="9"/>
      <c r="QQ28" s="9"/>
      <c r="QR28" s="9"/>
      <c r="QS28" s="9"/>
      <c r="QT28" s="9"/>
      <c r="QU28" s="9"/>
      <c r="QV28" s="9"/>
      <c r="QW28" s="9"/>
      <c r="QX28" s="9"/>
      <c r="QY28" s="9"/>
      <c r="QZ28" s="9"/>
      <c r="RA28" s="9"/>
      <c r="RB28" s="9"/>
      <c r="RC28" s="9"/>
      <c r="RD28" s="9"/>
      <c r="RE28" s="9"/>
      <c r="RF28" s="9"/>
      <c r="RG28" s="9"/>
      <c r="RH28" s="9"/>
      <c r="RI28" s="9"/>
      <c r="RJ28" s="9"/>
      <c r="RK28" s="9"/>
      <c r="RL28" s="9"/>
      <c r="RM28" s="9"/>
      <c r="RN28" s="9"/>
      <c r="RO28" s="9"/>
      <c r="RP28" s="9"/>
      <c r="RQ28" s="9"/>
      <c r="RR28" s="9"/>
      <c r="RS28" s="9"/>
      <c r="RT28" s="9"/>
      <c r="RU28" s="9"/>
      <c r="RV28" s="9"/>
      <c r="RW28" s="9"/>
      <c r="RX28" s="9"/>
      <c r="RY28" s="9"/>
      <c r="RZ28" s="9"/>
      <c r="SA28" s="9"/>
      <c r="SB28" s="9"/>
      <c r="SC28" s="9"/>
      <c r="SD28" s="9"/>
      <c r="SE28" s="9"/>
      <c r="SF28" s="9"/>
      <c r="SG28" s="9"/>
      <c r="SH28" s="9"/>
      <c r="SI28" s="9"/>
      <c r="SJ28" s="9"/>
      <c r="SK28" s="9"/>
      <c r="SL28" s="9"/>
      <c r="SM28" s="9"/>
      <c r="SN28" s="9"/>
      <c r="SO28" s="9"/>
      <c r="SP28" s="9"/>
      <c r="SQ28" s="9"/>
      <c r="SR28" s="9"/>
      <c r="SS28" s="9"/>
      <c r="ST28" s="9"/>
      <c r="SU28" s="9"/>
      <c r="SV28" s="9"/>
      <c r="SW28" s="9"/>
      <c r="SX28" s="9"/>
      <c r="SY28" s="9"/>
      <c r="SZ28" s="9"/>
      <c r="TA28" s="9"/>
      <c r="TB28" s="9"/>
      <c r="TC28" s="9"/>
      <c r="TD28" s="9"/>
      <c r="TE28" s="9"/>
      <c r="TF28" s="9"/>
      <c r="TG28" s="9"/>
      <c r="TH28" s="9"/>
      <c r="TI28" s="9"/>
      <c r="TJ28" s="9"/>
      <c r="TK28" s="9"/>
      <c r="TL28" s="9"/>
      <c r="TM28" s="9"/>
      <c r="TN28" s="9"/>
      <c r="TO28" s="9"/>
      <c r="TP28" s="9"/>
      <c r="TQ28" s="9"/>
      <c r="TR28" s="9"/>
      <c r="TS28" s="9"/>
      <c r="TT28" s="9"/>
      <c r="TU28" s="9"/>
      <c r="TV28" s="9"/>
      <c r="TW28" s="9"/>
      <c r="TX28" s="9"/>
      <c r="TY28" s="9"/>
      <c r="TZ28" s="9"/>
      <c r="UA28" s="9"/>
      <c r="UB28" s="9"/>
      <c r="UC28" s="9"/>
      <c r="UD28" s="9"/>
      <c r="UE28" s="9"/>
      <c r="UF28" s="9"/>
      <c r="UG28" s="9"/>
      <c r="UH28" s="9"/>
      <c r="UI28" s="9"/>
      <c r="UJ28" s="9"/>
      <c r="UK28" s="9"/>
      <c r="UL28" s="9"/>
      <c r="UM28" s="9"/>
    </row>
    <row r="29" spans="1:559" s="133" customFormat="1" ht="11.25" customHeight="1">
      <c r="A29" s="50"/>
      <c r="B29" s="10"/>
      <c r="C29" s="10"/>
      <c r="D29" s="50"/>
      <c r="E29" s="50"/>
      <c r="F29" s="50"/>
      <c r="G29" s="50"/>
      <c r="H29" s="50"/>
      <c r="I29" s="50"/>
      <c r="J29" s="50"/>
      <c r="K29" s="277" t="s">
        <v>793</v>
      </c>
      <c r="L29" s="46"/>
      <c r="M29" s="357" t="s">
        <v>1711</v>
      </c>
      <c r="N29" s="357"/>
      <c r="O29" s="357"/>
      <c r="P29" s="8"/>
      <c r="Q29" s="275" t="str">
        <f>IF(ISERROR(VLOOKUP(P29,Tools!$D$11:$J$57,7,FALSE)),"",VLOOKUP(P29,Tools!$D$11:$J$57,7,FALSE))</f>
        <v/>
      </c>
      <c r="R29" s="275">
        <v>2</v>
      </c>
      <c r="S29" s="216">
        <v>44259</v>
      </c>
      <c r="T29" s="8">
        <v>6</v>
      </c>
      <c r="U29" s="8" t="s">
        <v>998</v>
      </c>
      <c r="V29" s="275">
        <f>IF(U29=dur_type_d,T29,IF(U29=dur_type_w,IF(Work_D_Only_Bool,T29*5,T29*7),IF(U29=dur_type_m,IF(Work_D_Only_Bool,NETWORKDAYS.INTL(S29,DATE(YEAR(S29),MONTH(S29)+T29,DAY(S29)-1),WE_Days,Holiday_Days),DATE(YEAR(S29),MONTH(S29)+T29,DAY(S29))-S29),"ERROR")))</f>
        <v>6</v>
      </c>
      <c r="W29" s="49"/>
      <c r="X29" s="179">
        <f>IF(V29&gt;0,S29+V29-1,S29+V29+1)</f>
        <v>44264</v>
      </c>
      <c r="Y29" s="47">
        <f>IF(S29&lt;&gt;"",IF($GE$7,W29,X29),"")</f>
        <v>44264</v>
      </c>
      <c r="Z29" s="179">
        <f t="shared" si="121"/>
        <v>44259</v>
      </c>
      <c r="AA29" s="179">
        <f t="shared" si="122"/>
        <v>44264</v>
      </c>
      <c r="AB29" s="48">
        <v>0.2</v>
      </c>
      <c r="AC29" s="179">
        <f t="shared" si="124"/>
        <v>44260</v>
      </c>
      <c r="AD29" s="204">
        <f t="shared" si="123"/>
        <v>0</v>
      </c>
      <c r="AE29" s="49"/>
      <c r="AF29" s="49"/>
      <c r="AG29" s="49"/>
      <c r="AH29" s="49"/>
      <c r="AI29" s="49"/>
      <c r="AJ29" s="224"/>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B29" s="9"/>
      <c r="JC29" s="9"/>
      <c r="JD29" s="9"/>
      <c r="JE29" s="9"/>
      <c r="JF29" s="9"/>
      <c r="JG29" s="9"/>
      <c r="JH29" s="9"/>
      <c r="JI29" s="9"/>
      <c r="JJ29" s="9"/>
      <c r="JK29" s="9"/>
      <c r="JL29" s="9"/>
      <c r="JM29" s="9"/>
      <c r="JN29" s="9"/>
      <c r="JO29" s="9"/>
      <c r="JP29" s="9"/>
      <c r="JQ29" s="9"/>
      <c r="JR29" s="9"/>
      <c r="JS29" s="9"/>
      <c r="JT29" s="9"/>
      <c r="JU29" s="9"/>
      <c r="JV29" s="9"/>
      <c r="JW29" s="9"/>
      <c r="JX29" s="9"/>
      <c r="JY29" s="9"/>
      <c r="JZ29" s="9"/>
      <c r="KA29" s="9"/>
      <c r="KB29" s="9"/>
      <c r="KC29" s="9"/>
      <c r="KD29" s="9"/>
      <c r="KE29" s="9"/>
      <c r="KF29" s="9"/>
      <c r="KG29" s="9"/>
      <c r="KH29" s="9"/>
      <c r="KI29" s="9"/>
      <c r="KJ29" s="9"/>
      <c r="KK29" s="9"/>
      <c r="KL29" s="9"/>
      <c r="KM29" s="9"/>
      <c r="KN29" s="9"/>
      <c r="KO29" s="9"/>
      <c r="KP29" s="9"/>
      <c r="KQ29" s="9"/>
      <c r="KR29" s="9"/>
      <c r="KS29" s="9"/>
      <c r="KT29" s="9"/>
      <c r="KU29" s="9"/>
      <c r="KV29" s="9"/>
      <c r="KW29" s="9"/>
      <c r="KX29" s="9"/>
      <c r="KY29" s="9"/>
      <c r="KZ29" s="9"/>
      <c r="LA29" s="9"/>
      <c r="LB29" s="9"/>
      <c r="LC29" s="9"/>
      <c r="LD29" s="9"/>
      <c r="LE29" s="9"/>
      <c r="LF29" s="9"/>
      <c r="LG29" s="9"/>
      <c r="LH29" s="9"/>
      <c r="LI29" s="9"/>
      <c r="LJ29" s="9"/>
      <c r="LK29" s="9"/>
      <c r="LL29" s="9"/>
      <c r="LM29" s="9"/>
      <c r="LN29" s="9"/>
      <c r="LO29" s="9"/>
      <c r="LP29" s="9"/>
      <c r="LQ29" s="9"/>
      <c r="LR29" s="9"/>
      <c r="LS29" s="9"/>
      <c r="LT29" s="9"/>
      <c r="LU29" s="9"/>
      <c r="LV29" s="9"/>
      <c r="LW29" s="9"/>
      <c r="LX29" s="9"/>
      <c r="LY29" s="9"/>
      <c r="LZ29" s="9"/>
      <c r="MA29" s="9"/>
      <c r="MB29" s="9"/>
      <c r="MC29" s="9"/>
      <c r="MD29" s="9"/>
      <c r="ME29" s="9"/>
      <c r="MF29" s="9"/>
      <c r="MG29" s="9"/>
      <c r="MH29" s="9"/>
      <c r="MI29" s="9"/>
      <c r="MJ29" s="9"/>
      <c r="MK29" s="9"/>
      <c r="ML29" s="9"/>
      <c r="MM29" s="9"/>
      <c r="MN29" s="9"/>
      <c r="MO29" s="9"/>
      <c r="MP29" s="9"/>
      <c r="MQ29" s="9"/>
      <c r="MR29" s="9"/>
      <c r="MS29" s="9"/>
      <c r="MT29" s="9"/>
      <c r="MU29" s="9"/>
      <c r="MV29" s="9"/>
      <c r="MW29" s="9"/>
      <c r="MX29" s="9"/>
      <c r="MY29" s="9"/>
      <c r="MZ29" s="9"/>
      <c r="NA29" s="9"/>
      <c r="NB29" s="9"/>
      <c r="NC29" s="9"/>
      <c r="ND29" s="9"/>
      <c r="NE29" s="9"/>
      <c r="NF29" s="9"/>
      <c r="NG29" s="9"/>
      <c r="NH29" s="9"/>
      <c r="NI29" s="9"/>
      <c r="NJ29" s="9"/>
      <c r="NK29" s="9"/>
      <c r="NL29" s="9"/>
      <c r="NM29" s="9"/>
      <c r="NN29" s="9"/>
      <c r="NO29" s="9"/>
      <c r="NP29" s="9"/>
      <c r="NQ29" s="9"/>
      <c r="NR29" s="9"/>
      <c r="NS29" s="9"/>
      <c r="NT29" s="9"/>
      <c r="NU29" s="9"/>
      <c r="NV29" s="9"/>
      <c r="NW29" s="9"/>
      <c r="NX29" s="9"/>
      <c r="NY29" s="9"/>
      <c r="NZ29" s="9"/>
      <c r="OA29" s="9"/>
      <c r="OB29" s="9"/>
      <c r="OC29" s="9"/>
      <c r="OD29" s="9"/>
      <c r="OE29" s="9"/>
      <c r="OF29" s="9"/>
      <c r="OG29" s="9"/>
      <c r="OH29" s="9"/>
      <c r="OI29" s="9"/>
      <c r="OJ29" s="9"/>
      <c r="OK29" s="9"/>
      <c r="OL29" s="9"/>
      <c r="OM29" s="9"/>
      <c r="ON29" s="9"/>
      <c r="OO29" s="9"/>
      <c r="OP29" s="9"/>
      <c r="OQ29" s="9"/>
      <c r="OR29" s="9"/>
      <c r="OS29" s="9"/>
      <c r="OT29" s="9"/>
      <c r="OU29" s="9"/>
      <c r="OV29" s="9"/>
      <c r="OW29" s="9"/>
      <c r="OX29" s="9"/>
      <c r="OY29" s="9"/>
      <c r="OZ29" s="9"/>
      <c r="PA29" s="9"/>
      <c r="PB29" s="9"/>
      <c r="PC29" s="9"/>
      <c r="PD29" s="9"/>
      <c r="PE29" s="9"/>
      <c r="PF29" s="9"/>
      <c r="PG29" s="9"/>
      <c r="PH29" s="9"/>
      <c r="PI29" s="9"/>
      <c r="PJ29" s="9"/>
      <c r="PK29" s="9"/>
      <c r="PL29" s="9"/>
      <c r="PM29" s="9"/>
      <c r="PN29" s="9"/>
      <c r="PO29" s="9"/>
      <c r="PP29" s="9"/>
      <c r="PQ29" s="9"/>
      <c r="PR29" s="9"/>
      <c r="PS29" s="9"/>
      <c r="PT29" s="9"/>
      <c r="PU29" s="9"/>
      <c r="PV29" s="9"/>
      <c r="PW29" s="9"/>
      <c r="PX29" s="9"/>
      <c r="PY29" s="9"/>
      <c r="PZ29" s="9"/>
      <c r="QA29" s="9"/>
      <c r="QB29" s="9"/>
      <c r="QC29" s="9"/>
      <c r="QD29" s="9"/>
      <c r="QE29" s="9"/>
      <c r="QF29" s="9"/>
      <c r="QG29" s="9"/>
      <c r="QH29" s="9"/>
      <c r="QI29" s="9"/>
      <c r="QJ29" s="9"/>
      <c r="QK29" s="9"/>
      <c r="QL29" s="9"/>
      <c r="QM29" s="9"/>
      <c r="QN29" s="9"/>
      <c r="QO29" s="9"/>
      <c r="QP29" s="9"/>
      <c r="QQ29" s="9"/>
      <c r="QR29" s="9"/>
      <c r="QS29" s="9"/>
      <c r="QT29" s="9"/>
      <c r="QU29" s="9"/>
      <c r="QV29" s="9"/>
      <c r="QW29" s="9"/>
      <c r="QX29" s="9"/>
      <c r="QY29" s="9"/>
      <c r="QZ29" s="9"/>
      <c r="RA29" s="9"/>
      <c r="RB29" s="9"/>
      <c r="RC29" s="9"/>
      <c r="RD29" s="9"/>
      <c r="RE29" s="9"/>
      <c r="RF29" s="9"/>
      <c r="RG29" s="9"/>
      <c r="RH29" s="9"/>
      <c r="RI29" s="9"/>
      <c r="RJ29" s="9"/>
      <c r="RK29" s="9"/>
      <c r="RL29" s="9"/>
      <c r="RM29" s="9"/>
      <c r="RN29" s="9"/>
      <c r="RO29" s="9"/>
      <c r="RP29" s="9"/>
      <c r="RQ29" s="9"/>
      <c r="RR29" s="9"/>
      <c r="RS29" s="9"/>
      <c r="RT29" s="9"/>
      <c r="RU29" s="9"/>
      <c r="RV29" s="9"/>
      <c r="RW29" s="9"/>
      <c r="RX29" s="9"/>
      <c r="RY29" s="9"/>
      <c r="RZ29" s="9"/>
      <c r="SA29" s="9"/>
      <c r="SB29" s="9"/>
      <c r="SC29" s="9"/>
      <c r="SD29" s="9"/>
      <c r="SE29" s="9"/>
      <c r="SF29" s="9"/>
      <c r="SG29" s="9"/>
      <c r="SH29" s="9"/>
      <c r="SI29" s="9"/>
      <c r="SJ29" s="9"/>
      <c r="SK29" s="9"/>
      <c r="SL29" s="9"/>
      <c r="SM29" s="9"/>
      <c r="SN29" s="9"/>
      <c r="SO29" s="9"/>
      <c r="SP29" s="9"/>
      <c r="SQ29" s="9"/>
      <c r="SR29" s="9"/>
      <c r="SS29" s="9"/>
      <c r="ST29" s="9"/>
      <c r="SU29" s="9"/>
      <c r="SV29" s="9"/>
      <c r="SW29" s="9"/>
      <c r="SX29" s="9"/>
      <c r="SY29" s="9"/>
      <c r="SZ29" s="9"/>
      <c r="TA29" s="9"/>
      <c r="TB29" s="9"/>
      <c r="TC29" s="9"/>
      <c r="TD29" s="9"/>
      <c r="TE29" s="9"/>
      <c r="TF29" s="9"/>
      <c r="TG29" s="9"/>
      <c r="TH29" s="9"/>
      <c r="TI29" s="9"/>
      <c r="TJ29" s="9"/>
      <c r="TK29" s="9"/>
      <c r="TL29" s="9"/>
      <c r="TM29" s="9"/>
      <c r="TN29" s="9"/>
      <c r="TO29" s="9"/>
      <c r="TP29" s="9"/>
      <c r="TQ29" s="9"/>
      <c r="TR29" s="9"/>
      <c r="TS29" s="9"/>
      <c r="TT29" s="9"/>
      <c r="TU29" s="9"/>
      <c r="TV29" s="9"/>
      <c r="TW29" s="9"/>
      <c r="TX29" s="9"/>
      <c r="TY29" s="9"/>
      <c r="TZ29" s="9"/>
      <c r="UA29" s="9"/>
      <c r="UB29" s="9"/>
      <c r="UC29" s="9"/>
      <c r="UD29" s="9"/>
      <c r="UE29" s="9"/>
      <c r="UF29" s="9"/>
      <c r="UG29" s="9"/>
      <c r="UH29" s="9"/>
      <c r="UI29" s="9"/>
      <c r="UJ29" s="9"/>
      <c r="UK29" s="9"/>
      <c r="UL29" s="9"/>
      <c r="UM29" s="9"/>
    </row>
    <row r="30" spans="1:559" s="133" customFormat="1" ht="11.25" customHeight="1">
      <c r="A30" s="50"/>
      <c r="B30" s="10"/>
      <c r="C30" s="10"/>
      <c r="D30" s="50"/>
      <c r="E30" s="50"/>
      <c r="F30" s="50"/>
      <c r="G30" s="50"/>
      <c r="H30" s="50"/>
      <c r="I30" s="50"/>
      <c r="J30" s="50"/>
      <c r="K30" s="277" t="s">
        <v>1705</v>
      </c>
      <c r="L30" s="46"/>
      <c r="M30" s="357" t="s">
        <v>1712</v>
      </c>
      <c r="N30" s="357"/>
      <c r="O30" s="357"/>
      <c r="P30" s="8"/>
      <c r="Q30" s="275" t="str">
        <f>IF(ISERROR(VLOOKUP(P30,Tools!$D$11:$J$57,7,FALSE)),"",VLOOKUP(P30,Tools!$D$11:$J$57,7,FALSE))</f>
        <v/>
      </c>
      <c r="R30" s="275">
        <v>2</v>
      </c>
      <c r="S30" s="216">
        <v>44259</v>
      </c>
      <c r="T30" s="8">
        <v>6</v>
      </c>
      <c r="U30" s="8" t="s">
        <v>998</v>
      </c>
      <c r="V30" s="275">
        <f>IF(U30=dur_type_d,T30,IF(U30=dur_type_w,IF(Work_D_Only_Bool,T30*5,T30*7),IF(U30=dur_type_m,IF(Work_D_Only_Bool,NETWORKDAYS.INTL(S30,DATE(YEAR(S30),MONTH(S30)+T30,DAY(S30)-1),WE_Days,Holiday_Days),DATE(YEAR(S30),MONTH(S30)+T30,DAY(S30))-S30),"ERROR")))</f>
        <v>6</v>
      </c>
      <c r="W30" s="49"/>
      <c r="X30" s="179">
        <f>IF(V30&gt;0,S30+V30-1,S30+V30+1)</f>
        <v>44264</v>
      </c>
      <c r="Y30" s="47">
        <f>IF(S30&lt;&gt;"",IF($GE$7,W30,X30),"")</f>
        <v>44264</v>
      </c>
      <c r="Z30" s="179">
        <f>IF(T30&gt;0,S30,Y30)</f>
        <v>44259</v>
      </c>
      <c r="AA30" s="179">
        <f>IF(T30&gt;0,Y30,S30)</f>
        <v>44264</v>
      </c>
      <c r="AB30" s="48">
        <v>0.2</v>
      </c>
      <c r="AC30" s="179">
        <f>INT(Z30+AB30*(AA30-Z30))</f>
        <v>44260</v>
      </c>
      <c r="AD30" s="204">
        <f>IF(AND(AB30&lt;1,AC30&lt;$DC$7),0,1)</f>
        <v>0</v>
      </c>
      <c r="AE30" s="49"/>
      <c r="AF30" s="49"/>
      <c r="AG30" s="49"/>
      <c r="AH30" s="49"/>
      <c r="AI30" s="49"/>
      <c r="AJ30" s="224"/>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B30" s="9"/>
      <c r="JC30" s="9"/>
      <c r="JD30" s="9"/>
      <c r="JE30" s="9"/>
      <c r="JF30" s="9"/>
      <c r="JG30" s="9"/>
      <c r="JH30" s="9"/>
      <c r="JI30" s="9"/>
      <c r="JJ30" s="9"/>
      <c r="JK30" s="9"/>
      <c r="JL30" s="9"/>
      <c r="JM30" s="9"/>
      <c r="JN30" s="9"/>
      <c r="JO30" s="9"/>
      <c r="JP30" s="9"/>
      <c r="JQ30" s="9"/>
      <c r="JR30" s="9"/>
      <c r="JS30" s="9"/>
      <c r="JT30" s="9"/>
      <c r="JU30" s="9"/>
      <c r="JV30" s="9"/>
      <c r="JW30" s="9"/>
      <c r="JX30" s="9"/>
      <c r="JY30" s="9"/>
      <c r="JZ30" s="9"/>
      <c r="KA30" s="9"/>
      <c r="KB30" s="9"/>
      <c r="KC30" s="9"/>
      <c r="KD30" s="9"/>
      <c r="KE30" s="9"/>
      <c r="KF30" s="9"/>
      <c r="KG30" s="9"/>
      <c r="KH30" s="9"/>
      <c r="KI30" s="9"/>
      <c r="KJ30" s="9"/>
      <c r="KK30" s="9"/>
      <c r="KL30" s="9"/>
      <c r="KM30" s="9"/>
      <c r="KN30" s="9"/>
      <c r="KO30" s="9"/>
      <c r="KP30" s="9"/>
      <c r="KQ30" s="9"/>
      <c r="KR30" s="9"/>
      <c r="KS30" s="9"/>
      <c r="KT30" s="9"/>
      <c r="KU30" s="9"/>
      <c r="KV30" s="9"/>
      <c r="KW30" s="9"/>
      <c r="KX30" s="9"/>
      <c r="KY30" s="9"/>
      <c r="KZ30" s="9"/>
      <c r="LA30" s="9"/>
      <c r="LB30" s="9"/>
      <c r="LC30" s="9"/>
      <c r="LD30" s="9"/>
      <c r="LE30" s="9"/>
      <c r="LF30" s="9"/>
      <c r="LG30" s="9"/>
      <c r="LH30" s="9"/>
      <c r="LI30" s="9"/>
      <c r="LJ30" s="9"/>
      <c r="LK30" s="9"/>
      <c r="LL30" s="9"/>
      <c r="LM30" s="9"/>
      <c r="LN30" s="9"/>
      <c r="LO30" s="9"/>
      <c r="LP30" s="9"/>
      <c r="LQ30" s="9"/>
      <c r="LR30" s="9"/>
      <c r="LS30" s="9"/>
      <c r="LT30" s="9"/>
      <c r="LU30" s="9"/>
      <c r="LV30" s="9"/>
      <c r="LW30" s="9"/>
      <c r="LX30" s="9"/>
      <c r="LY30" s="9"/>
      <c r="LZ30" s="9"/>
      <c r="MA30" s="9"/>
      <c r="MB30" s="9"/>
      <c r="MC30" s="9"/>
      <c r="MD30" s="9"/>
      <c r="ME30" s="9"/>
      <c r="MF30" s="9"/>
      <c r="MG30" s="9"/>
      <c r="MH30" s="9"/>
      <c r="MI30" s="9"/>
      <c r="MJ30" s="9"/>
      <c r="MK30" s="9"/>
      <c r="ML30" s="9"/>
      <c r="MM30" s="9"/>
      <c r="MN30" s="9"/>
      <c r="MO30" s="9"/>
      <c r="MP30" s="9"/>
      <c r="MQ30" s="9"/>
      <c r="MR30" s="9"/>
      <c r="MS30" s="9"/>
      <c r="MT30" s="9"/>
      <c r="MU30" s="9"/>
      <c r="MV30" s="9"/>
      <c r="MW30" s="9"/>
      <c r="MX30" s="9"/>
      <c r="MY30" s="9"/>
      <c r="MZ30" s="9"/>
      <c r="NA30" s="9"/>
      <c r="NB30" s="9"/>
      <c r="NC30" s="9"/>
      <c r="ND30" s="9"/>
      <c r="NE30" s="9"/>
      <c r="NF30" s="9"/>
      <c r="NG30" s="9"/>
      <c r="NH30" s="9"/>
      <c r="NI30" s="9"/>
      <c r="NJ30" s="9"/>
      <c r="NK30" s="9"/>
      <c r="NL30" s="9"/>
      <c r="NM30" s="9"/>
      <c r="NN30" s="9"/>
      <c r="NO30" s="9"/>
      <c r="NP30" s="9"/>
      <c r="NQ30" s="9"/>
      <c r="NR30" s="9"/>
      <c r="NS30" s="9"/>
      <c r="NT30" s="9"/>
      <c r="NU30" s="9"/>
      <c r="NV30" s="9"/>
      <c r="NW30" s="9"/>
      <c r="NX30" s="9"/>
      <c r="NY30" s="9"/>
      <c r="NZ30" s="9"/>
      <c r="OA30" s="9"/>
      <c r="OB30" s="9"/>
      <c r="OC30" s="9"/>
      <c r="OD30" s="9"/>
      <c r="OE30" s="9"/>
      <c r="OF30" s="9"/>
      <c r="OG30" s="9"/>
      <c r="OH30" s="9"/>
      <c r="OI30" s="9"/>
      <c r="OJ30" s="9"/>
      <c r="OK30" s="9"/>
      <c r="OL30" s="9"/>
      <c r="OM30" s="9"/>
      <c r="ON30" s="9"/>
      <c r="OO30" s="9"/>
      <c r="OP30" s="9"/>
      <c r="OQ30" s="9"/>
      <c r="OR30" s="9"/>
      <c r="OS30" s="9"/>
      <c r="OT30" s="9"/>
      <c r="OU30" s="9"/>
      <c r="OV30" s="9"/>
      <c r="OW30" s="9"/>
      <c r="OX30" s="9"/>
      <c r="OY30" s="9"/>
      <c r="OZ30" s="9"/>
      <c r="PA30" s="9"/>
      <c r="PB30" s="9"/>
      <c r="PC30" s="9"/>
      <c r="PD30" s="9"/>
      <c r="PE30" s="9"/>
      <c r="PF30" s="9"/>
      <c r="PG30" s="9"/>
      <c r="PH30" s="9"/>
      <c r="PI30" s="9"/>
      <c r="PJ30" s="9"/>
      <c r="PK30" s="9"/>
      <c r="PL30" s="9"/>
      <c r="PM30" s="9"/>
      <c r="PN30" s="9"/>
      <c r="PO30" s="9"/>
      <c r="PP30" s="9"/>
      <c r="PQ30" s="9"/>
      <c r="PR30" s="9"/>
      <c r="PS30" s="9"/>
      <c r="PT30" s="9"/>
      <c r="PU30" s="9"/>
      <c r="PV30" s="9"/>
      <c r="PW30" s="9"/>
      <c r="PX30" s="9"/>
      <c r="PY30" s="9"/>
      <c r="PZ30" s="9"/>
      <c r="QA30" s="9"/>
      <c r="QB30" s="9"/>
      <c r="QC30" s="9"/>
      <c r="QD30" s="9"/>
      <c r="QE30" s="9"/>
      <c r="QF30" s="9"/>
      <c r="QG30" s="9"/>
      <c r="QH30" s="9"/>
      <c r="QI30" s="9"/>
      <c r="QJ30" s="9"/>
      <c r="QK30" s="9"/>
      <c r="QL30" s="9"/>
      <c r="QM30" s="9"/>
      <c r="QN30" s="9"/>
      <c r="QO30" s="9"/>
      <c r="QP30" s="9"/>
      <c r="QQ30" s="9"/>
      <c r="QR30" s="9"/>
      <c r="QS30" s="9"/>
      <c r="QT30" s="9"/>
      <c r="QU30" s="9"/>
      <c r="QV30" s="9"/>
      <c r="QW30" s="9"/>
      <c r="QX30" s="9"/>
      <c r="QY30" s="9"/>
      <c r="QZ30" s="9"/>
      <c r="RA30" s="9"/>
      <c r="RB30" s="9"/>
      <c r="RC30" s="9"/>
      <c r="RD30" s="9"/>
      <c r="RE30" s="9"/>
      <c r="RF30" s="9"/>
      <c r="RG30" s="9"/>
      <c r="RH30" s="9"/>
      <c r="RI30" s="9"/>
      <c r="RJ30" s="9"/>
      <c r="RK30" s="9"/>
      <c r="RL30" s="9"/>
      <c r="RM30" s="9"/>
      <c r="RN30" s="9"/>
      <c r="RO30" s="9"/>
      <c r="RP30" s="9"/>
      <c r="RQ30" s="9"/>
      <c r="RR30" s="9"/>
      <c r="RS30" s="9"/>
      <c r="RT30" s="9"/>
      <c r="RU30" s="9"/>
      <c r="RV30" s="9"/>
      <c r="RW30" s="9"/>
      <c r="RX30" s="9"/>
      <c r="RY30" s="9"/>
      <c r="RZ30" s="9"/>
      <c r="SA30" s="9"/>
      <c r="SB30" s="9"/>
      <c r="SC30" s="9"/>
      <c r="SD30" s="9"/>
      <c r="SE30" s="9"/>
      <c r="SF30" s="9"/>
      <c r="SG30" s="9"/>
      <c r="SH30" s="9"/>
      <c r="SI30" s="9"/>
      <c r="SJ30" s="9"/>
      <c r="SK30" s="9"/>
      <c r="SL30" s="9"/>
      <c r="SM30" s="9"/>
      <c r="SN30" s="9"/>
      <c r="SO30" s="9"/>
      <c r="SP30" s="9"/>
      <c r="SQ30" s="9"/>
      <c r="SR30" s="9"/>
      <c r="SS30" s="9"/>
      <c r="ST30" s="9"/>
      <c r="SU30" s="9"/>
      <c r="SV30" s="9"/>
      <c r="SW30" s="9"/>
      <c r="SX30" s="9"/>
      <c r="SY30" s="9"/>
      <c r="SZ30" s="9"/>
      <c r="TA30" s="9"/>
      <c r="TB30" s="9"/>
      <c r="TC30" s="9"/>
      <c r="TD30" s="9"/>
      <c r="TE30" s="9"/>
      <c r="TF30" s="9"/>
      <c r="TG30" s="9"/>
      <c r="TH30" s="9"/>
      <c r="TI30" s="9"/>
      <c r="TJ30" s="9"/>
      <c r="TK30" s="9"/>
      <c r="TL30" s="9"/>
      <c r="TM30" s="9"/>
      <c r="TN30" s="9"/>
      <c r="TO30" s="9"/>
      <c r="TP30" s="9"/>
      <c r="TQ30" s="9"/>
      <c r="TR30" s="9"/>
      <c r="TS30" s="9"/>
      <c r="TT30" s="9"/>
      <c r="TU30" s="9"/>
      <c r="TV30" s="9"/>
      <c r="TW30" s="9"/>
      <c r="TX30" s="9"/>
      <c r="TY30" s="9"/>
      <c r="TZ30" s="9"/>
      <c r="UA30" s="9"/>
      <c r="UB30" s="9"/>
      <c r="UC30" s="9"/>
      <c r="UD30" s="9"/>
      <c r="UE30" s="9"/>
      <c r="UF30" s="9"/>
      <c r="UG30" s="9"/>
      <c r="UH30" s="9"/>
      <c r="UI30" s="9"/>
      <c r="UJ30" s="9"/>
      <c r="UK30" s="9"/>
      <c r="UL30" s="9"/>
      <c r="UM30" s="9"/>
    </row>
    <row r="31" spans="1:559" s="133" customFormat="1" ht="11.25" customHeight="1">
      <c r="A31" s="50"/>
      <c r="B31" s="10"/>
      <c r="C31" s="10"/>
      <c r="D31" s="50"/>
      <c r="E31" s="50"/>
      <c r="F31" s="50"/>
      <c r="G31" s="50"/>
      <c r="H31" s="50"/>
      <c r="I31" s="50"/>
      <c r="J31" s="50"/>
      <c r="K31" s="277" t="s">
        <v>1706</v>
      </c>
      <c r="L31" s="46"/>
      <c r="M31" s="357" t="s">
        <v>1713</v>
      </c>
      <c r="N31" s="357"/>
      <c r="O31" s="357"/>
      <c r="P31" s="8"/>
      <c r="Q31" s="275" t="str">
        <f>IF(ISERROR(VLOOKUP(P31,Tools!$D$11:$J$57,7,FALSE)),"",VLOOKUP(P31,Tools!$D$11:$J$57,7,FALSE))</f>
        <v/>
      </c>
      <c r="R31" s="275">
        <v>2</v>
      </c>
      <c r="S31" s="216">
        <v>44284</v>
      </c>
      <c r="T31" s="8">
        <v>2</v>
      </c>
      <c r="U31" s="8" t="s">
        <v>998</v>
      </c>
      <c r="V31" s="275">
        <f>IF(U31=dur_type_d,T31,IF(U31=dur_type_w,IF(Work_D_Only_Bool,T31*5,T31*7),IF(U31=dur_type_m,IF(Work_D_Only_Bool,NETWORKDAYS.INTL(S31,DATE(YEAR(S31),MONTH(S31)+T31,DAY(S31)-1),WE_Days,Holiday_Days),DATE(YEAR(S31),MONTH(S31)+T31,DAY(S31))-S31),"ERROR")))</f>
        <v>2</v>
      </c>
      <c r="W31" s="49"/>
      <c r="X31" s="179">
        <f>IF(V31&gt;0,S31+V31-1,S31+V31+1)</f>
        <v>44285</v>
      </c>
      <c r="Y31" s="47">
        <f>IF(S31&lt;&gt;"",IF($GE$7,W31,X31),"")</f>
        <v>44285</v>
      </c>
      <c r="Z31" s="179">
        <f>IF(T31&gt;0,S31,Y31)</f>
        <v>44284</v>
      </c>
      <c r="AA31" s="179">
        <f>IF(T31&gt;0,Y31,S31)</f>
        <v>44285</v>
      </c>
      <c r="AB31" s="48">
        <v>0</v>
      </c>
      <c r="AC31" s="179">
        <f>INT(Z31+AB31*(AA31-Z31))</f>
        <v>44284</v>
      </c>
      <c r="AD31" s="204">
        <f>IF(AND(AB31&lt;1,AC31&lt;$DC$7),0,1)</f>
        <v>0</v>
      </c>
      <c r="AE31" s="49"/>
      <c r="AF31" s="49"/>
      <c r="AG31" s="49"/>
      <c r="AH31" s="49"/>
      <c r="AI31" s="49"/>
      <c r="AJ31" s="224"/>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B31" s="9"/>
      <c r="JC31" s="9"/>
      <c r="JD31" s="9"/>
      <c r="JE31" s="9"/>
      <c r="JF31" s="9"/>
      <c r="JG31" s="9"/>
      <c r="JH31" s="9"/>
      <c r="JI31" s="9"/>
      <c r="JJ31" s="9"/>
      <c r="JK31" s="9"/>
      <c r="JL31" s="9"/>
      <c r="JM31" s="9"/>
      <c r="JN31" s="9"/>
      <c r="JO31" s="9"/>
      <c r="JP31" s="9"/>
      <c r="JQ31" s="9"/>
      <c r="JR31" s="9"/>
      <c r="JS31" s="9"/>
      <c r="JT31" s="9"/>
      <c r="JU31" s="9"/>
      <c r="JV31" s="9"/>
      <c r="JW31" s="9"/>
      <c r="JX31" s="9"/>
      <c r="JY31" s="9"/>
      <c r="JZ31" s="9"/>
      <c r="KA31" s="9"/>
      <c r="KB31" s="9"/>
      <c r="KC31" s="9"/>
      <c r="KD31" s="9"/>
      <c r="KE31" s="9"/>
      <c r="KF31" s="9"/>
      <c r="KG31" s="9"/>
      <c r="KH31" s="9"/>
      <c r="KI31" s="9"/>
      <c r="KJ31" s="9"/>
      <c r="KK31" s="9"/>
      <c r="KL31" s="9"/>
      <c r="KM31" s="9"/>
      <c r="KN31" s="9"/>
      <c r="KO31" s="9"/>
      <c r="KP31" s="9"/>
      <c r="KQ31" s="9"/>
      <c r="KR31" s="9"/>
      <c r="KS31" s="9"/>
      <c r="KT31" s="9"/>
      <c r="KU31" s="9"/>
      <c r="KV31" s="9"/>
      <c r="KW31" s="9"/>
      <c r="KX31" s="9"/>
      <c r="KY31" s="9"/>
      <c r="KZ31" s="9"/>
      <c r="LA31" s="9"/>
      <c r="LB31" s="9"/>
      <c r="LC31" s="9"/>
      <c r="LD31" s="9"/>
      <c r="LE31" s="9"/>
      <c r="LF31" s="9"/>
      <c r="LG31" s="9"/>
      <c r="LH31" s="9"/>
      <c r="LI31" s="9"/>
      <c r="LJ31" s="9"/>
      <c r="LK31" s="9"/>
      <c r="LL31" s="9"/>
      <c r="LM31" s="9"/>
      <c r="LN31" s="9"/>
      <c r="LO31" s="9"/>
      <c r="LP31" s="9"/>
      <c r="LQ31" s="9"/>
      <c r="LR31" s="9"/>
      <c r="LS31" s="9"/>
      <c r="LT31" s="9"/>
      <c r="LU31" s="9"/>
      <c r="LV31" s="9"/>
      <c r="LW31" s="9"/>
      <c r="LX31" s="9"/>
      <c r="LY31" s="9"/>
      <c r="LZ31" s="9"/>
      <c r="MA31" s="9"/>
      <c r="MB31" s="9"/>
      <c r="MC31" s="9"/>
      <c r="MD31" s="9"/>
      <c r="ME31" s="9"/>
      <c r="MF31" s="9"/>
      <c r="MG31" s="9"/>
      <c r="MH31" s="9"/>
      <c r="MI31" s="9"/>
      <c r="MJ31" s="9"/>
      <c r="MK31" s="9"/>
      <c r="ML31" s="9"/>
      <c r="MM31" s="9"/>
      <c r="MN31" s="9"/>
      <c r="MO31" s="9"/>
      <c r="MP31" s="9"/>
      <c r="MQ31" s="9"/>
      <c r="MR31" s="9"/>
      <c r="MS31" s="9"/>
      <c r="MT31" s="9"/>
      <c r="MU31" s="9"/>
      <c r="MV31" s="9"/>
      <c r="MW31" s="9"/>
      <c r="MX31" s="9"/>
      <c r="MY31" s="9"/>
      <c r="MZ31" s="9"/>
      <c r="NA31" s="9"/>
      <c r="NB31" s="9"/>
      <c r="NC31" s="9"/>
      <c r="ND31" s="9"/>
      <c r="NE31" s="9"/>
      <c r="NF31" s="9"/>
      <c r="NG31" s="9"/>
      <c r="NH31" s="9"/>
      <c r="NI31" s="9"/>
      <c r="NJ31" s="9"/>
      <c r="NK31" s="9"/>
      <c r="NL31" s="9"/>
      <c r="NM31" s="9"/>
      <c r="NN31" s="9"/>
      <c r="NO31" s="9"/>
      <c r="NP31" s="9"/>
      <c r="NQ31" s="9"/>
      <c r="NR31" s="9"/>
      <c r="NS31" s="9"/>
      <c r="NT31" s="9"/>
      <c r="NU31" s="9"/>
      <c r="NV31" s="9"/>
      <c r="NW31" s="9"/>
      <c r="NX31" s="9"/>
      <c r="NY31" s="9"/>
      <c r="NZ31" s="9"/>
      <c r="OA31" s="9"/>
      <c r="OB31" s="9"/>
      <c r="OC31" s="9"/>
      <c r="OD31" s="9"/>
      <c r="OE31" s="9"/>
      <c r="OF31" s="9"/>
      <c r="OG31" s="9"/>
      <c r="OH31" s="9"/>
      <c r="OI31" s="9"/>
      <c r="OJ31" s="9"/>
      <c r="OK31" s="9"/>
      <c r="OL31" s="9"/>
      <c r="OM31" s="9"/>
      <c r="ON31" s="9"/>
      <c r="OO31" s="9"/>
      <c r="OP31" s="9"/>
      <c r="OQ31" s="9"/>
      <c r="OR31" s="9"/>
      <c r="OS31" s="9"/>
      <c r="OT31" s="9"/>
      <c r="OU31" s="9"/>
      <c r="OV31" s="9"/>
      <c r="OW31" s="9"/>
      <c r="OX31" s="9"/>
      <c r="OY31" s="9"/>
      <c r="OZ31" s="9"/>
      <c r="PA31" s="9"/>
      <c r="PB31" s="9"/>
      <c r="PC31" s="9"/>
      <c r="PD31" s="9"/>
      <c r="PE31" s="9"/>
      <c r="PF31" s="9"/>
      <c r="PG31" s="9"/>
      <c r="PH31" s="9"/>
      <c r="PI31" s="9"/>
      <c r="PJ31" s="9"/>
      <c r="PK31" s="9"/>
      <c r="PL31" s="9"/>
      <c r="PM31" s="9"/>
      <c r="PN31" s="9"/>
      <c r="PO31" s="9"/>
      <c r="PP31" s="9"/>
      <c r="PQ31" s="9"/>
      <c r="PR31" s="9"/>
      <c r="PS31" s="9"/>
      <c r="PT31" s="9"/>
      <c r="PU31" s="9"/>
      <c r="PV31" s="9"/>
      <c r="PW31" s="9"/>
      <c r="PX31" s="9"/>
      <c r="PY31" s="9"/>
      <c r="PZ31" s="9"/>
      <c r="QA31" s="9"/>
      <c r="QB31" s="9"/>
      <c r="QC31" s="9"/>
      <c r="QD31" s="9"/>
      <c r="QE31" s="9"/>
      <c r="QF31" s="9"/>
      <c r="QG31" s="9"/>
      <c r="QH31" s="9"/>
      <c r="QI31" s="9"/>
      <c r="QJ31" s="9"/>
      <c r="QK31" s="9"/>
      <c r="QL31" s="9"/>
      <c r="QM31" s="9"/>
      <c r="QN31" s="9"/>
      <c r="QO31" s="9"/>
      <c r="QP31" s="9"/>
      <c r="QQ31" s="9"/>
      <c r="QR31" s="9"/>
      <c r="QS31" s="9"/>
      <c r="QT31" s="9"/>
      <c r="QU31" s="9"/>
      <c r="QV31" s="9"/>
      <c r="QW31" s="9"/>
      <c r="QX31" s="9"/>
      <c r="QY31" s="9"/>
      <c r="QZ31" s="9"/>
      <c r="RA31" s="9"/>
      <c r="RB31" s="9"/>
      <c r="RC31" s="9"/>
      <c r="RD31" s="9"/>
      <c r="RE31" s="9"/>
      <c r="RF31" s="9"/>
      <c r="RG31" s="9"/>
      <c r="RH31" s="9"/>
      <c r="RI31" s="9"/>
      <c r="RJ31" s="9"/>
      <c r="RK31" s="9"/>
      <c r="RL31" s="9"/>
      <c r="RM31" s="9"/>
      <c r="RN31" s="9"/>
      <c r="RO31" s="9"/>
      <c r="RP31" s="9"/>
      <c r="RQ31" s="9"/>
      <c r="RR31" s="9"/>
      <c r="RS31" s="9"/>
      <c r="RT31" s="9"/>
      <c r="RU31" s="9"/>
      <c r="RV31" s="9"/>
      <c r="RW31" s="9"/>
      <c r="RX31" s="9"/>
      <c r="RY31" s="9"/>
      <c r="RZ31" s="9"/>
      <c r="SA31" s="9"/>
      <c r="SB31" s="9"/>
      <c r="SC31" s="9"/>
      <c r="SD31" s="9"/>
      <c r="SE31" s="9"/>
      <c r="SF31" s="9"/>
      <c r="SG31" s="9"/>
      <c r="SH31" s="9"/>
      <c r="SI31" s="9"/>
      <c r="SJ31" s="9"/>
      <c r="SK31" s="9"/>
      <c r="SL31" s="9"/>
      <c r="SM31" s="9"/>
      <c r="SN31" s="9"/>
      <c r="SO31" s="9"/>
      <c r="SP31" s="9"/>
      <c r="SQ31" s="9"/>
      <c r="SR31" s="9"/>
      <c r="SS31" s="9"/>
      <c r="ST31" s="9"/>
      <c r="SU31" s="9"/>
      <c r="SV31" s="9"/>
      <c r="SW31" s="9"/>
      <c r="SX31" s="9"/>
      <c r="SY31" s="9"/>
      <c r="SZ31" s="9"/>
      <c r="TA31" s="9"/>
      <c r="TB31" s="9"/>
      <c r="TC31" s="9"/>
      <c r="TD31" s="9"/>
      <c r="TE31" s="9"/>
      <c r="TF31" s="9"/>
      <c r="TG31" s="9"/>
      <c r="TH31" s="9"/>
      <c r="TI31" s="9"/>
      <c r="TJ31" s="9"/>
      <c r="TK31" s="9"/>
      <c r="TL31" s="9"/>
      <c r="TM31" s="9"/>
      <c r="TN31" s="9"/>
      <c r="TO31" s="9"/>
      <c r="TP31" s="9"/>
      <c r="TQ31" s="9"/>
      <c r="TR31" s="9"/>
      <c r="TS31" s="9"/>
      <c r="TT31" s="9"/>
      <c r="TU31" s="9"/>
      <c r="TV31" s="9"/>
      <c r="TW31" s="9"/>
      <c r="TX31" s="9"/>
      <c r="TY31" s="9"/>
      <c r="TZ31" s="9"/>
      <c r="UA31" s="9"/>
      <c r="UB31" s="9"/>
      <c r="UC31" s="9"/>
      <c r="UD31" s="9"/>
      <c r="UE31" s="9"/>
      <c r="UF31" s="9"/>
      <c r="UG31" s="9"/>
      <c r="UH31" s="9"/>
      <c r="UI31" s="9"/>
      <c r="UJ31" s="9"/>
      <c r="UK31" s="9"/>
      <c r="UL31" s="9"/>
      <c r="UM31" s="9"/>
    </row>
    <row r="32" spans="1:559" s="133" customFormat="1" ht="11.25" customHeight="1">
      <c r="A32" s="50"/>
      <c r="B32" s="10"/>
      <c r="C32" s="10"/>
      <c r="D32" s="50"/>
      <c r="E32" s="50"/>
      <c r="F32" s="50"/>
      <c r="G32" s="50"/>
      <c r="H32" s="50"/>
      <c r="I32" s="50"/>
      <c r="J32" s="50"/>
      <c r="K32" s="277" t="s">
        <v>1707</v>
      </c>
      <c r="L32" s="46"/>
      <c r="M32" s="357" t="s">
        <v>1714</v>
      </c>
      <c r="N32" s="357"/>
      <c r="O32" s="357"/>
      <c r="P32" s="8"/>
      <c r="Q32" s="275" t="str">
        <f>IF(ISERROR(VLOOKUP(P32,Tools!$D$11:$J$57,7,FALSE)),"",VLOOKUP(P32,Tools!$D$11:$J$57,7,FALSE))</f>
        <v/>
      </c>
      <c r="R32" s="275">
        <v>2</v>
      </c>
      <c r="S32" s="216">
        <v>44285</v>
      </c>
      <c r="T32" s="8">
        <v>2</v>
      </c>
      <c r="U32" s="8" t="s">
        <v>998</v>
      </c>
      <c r="V32" s="275">
        <f>IF(U32=dur_type_d,T32,IF(U32=dur_type_w,IF(Work_D_Only_Bool,T32*5,T32*7),IF(U32=dur_type_m,IF(Work_D_Only_Bool,NETWORKDAYS.INTL(S32,DATE(YEAR(S32),MONTH(S32)+T32,DAY(S32)-1),WE_Days,Holiday_Days),DATE(YEAR(S32),MONTH(S32)+T32,DAY(S32))-S32),"ERROR")))</f>
        <v>2</v>
      </c>
      <c r="W32" s="49"/>
      <c r="X32" s="179">
        <f>IF(V32&gt;0,S32+V32-1,S32+V32+1)</f>
        <v>44286</v>
      </c>
      <c r="Y32" s="47">
        <f>IF(S32&lt;&gt;"",IF($GE$7,W32,X32),"")</f>
        <v>44286</v>
      </c>
      <c r="Z32" s="179">
        <f>IF(T32&gt;0,S32,Y32)</f>
        <v>44285</v>
      </c>
      <c r="AA32" s="179">
        <f>IF(T32&gt;0,Y32,S32)</f>
        <v>44286</v>
      </c>
      <c r="AB32" s="48">
        <v>0</v>
      </c>
      <c r="AC32" s="179">
        <f>INT(Z32+AB32*(AA32-Z32))</f>
        <v>44285</v>
      </c>
      <c r="AD32" s="204">
        <f>IF(AND(AB32&lt;1,AC32&lt;$DC$7),0,1)</f>
        <v>0</v>
      </c>
      <c r="AE32" s="49"/>
      <c r="AF32" s="49"/>
      <c r="AG32" s="49"/>
      <c r="AH32" s="49"/>
      <c r="AI32" s="49"/>
      <c r="AJ32" s="224"/>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B32" s="9"/>
      <c r="JC32" s="9"/>
      <c r="JD32" s="9"/>
      <c r="JE32" s="9"/>
      <c r="JF32" s="9"/>
      <c r="JG32" s="9"/>
      <c r="JH32" s="9"/>
      <c r="JI32" s="9"/>
      <c r="JJ32" s="9"/>
      <c r="JK32" s="9"/>
      <c r="JL32" s="9"/>
      <c r="JM32" s="9"/>
      <c r="JN32" s="9"/>
      <c r="JO32" s="9"/>
      <c r="JP32" s="9"/>
      <c r="JQ32" s="9"/>
      <c r="JR32" s="9"/>
      <c r="JS32" s="9"/>
      <c r="JT32" s="9"/>
      <c r="JU32" s="9"/>
      <c r="JV32" s="9"/>
      <c r="JW32" s="9"/>
      <c r="JX32" s="9"/>
      <c r="JY32" s="9"/>
      <c r="JZ32" s="9"/>
      <c r="KA32" s="9"/>
      <c r="KB32" s="9"/>
      <c r="KC32" s="9"/>
      <c r="KD32" s="9"/>
      <c r="KE32" s="9"/>
      <c r="KF32" s="9"/>
      <c r="KG32" s="9"/>
      <c r="KH32" s="9"/>
      <c r="KI32" s="9"/>
      <c r="KJ32" s="9"/>
      <c r="KK32" s="9"/>
      <c r="KL32" s="9"/>
      <c r="KM32" s="9"/>
      <c r="KN32" s="9"/>
      <c r="KO32" s="9"/>
      <c r="KP32" s="9"/>
      <c r="KQ32" s="9"/>
      <c r="KR32" s="9"/>
      <c r="KS32" s="9"/>
      <c r="KT32" s="9"/>
      <c r="KU32" s="9"/>
      <c r="KV32" s="9"/>
      <c r="KW32" s="9"/>
      <c r="KX32" s="9"/>
      <c r="KY32" s="9"/>
      <c r="KZ32" s="9"/>
      <c r="LA32" s="9"/>
      <c r="LB32" s="9"/>
      <c r="LC32" s="9"/>
      <c r="LD32" s="9"/>
      <c r="LE32" s="9"/>
      <c r="LF32" s="9"/>
      <c r="LG32" s="9"/>
      <c r="LH32" s="9"/>
      <c r="LI32" s="9"/>
      <c r="LJ32" s="9"/>
      <c r="LK32" s="9"/>
      <c r="LL32" s="9"/>
      <c r="LM32" s="9"/>
      <c r="LN32" s="9"/>
      <c r="LO32" s="9"/>
      <c r="LP32" s="9"/>
      <c r="LQ32" s="9"/>
      <c r="LR32" s="9"/>
      <c r="LS32" s="9"/>
      <c r="LT32" s="9"/>
      <c r="LU32" s="9"/>
      <c r="LV32" s="9"/>
      <c r="LW32" s="9"/>
      <c r="LX32" s="9"/>
      <c r="LY32" s="9"/>
      <c r="LZ32" s="9"/>
      <c r="MA32" s="9"/>
      <c r="MB32" s="9"/>
      <c r="MC32" s="9"/>
      <c r="MD32" s="9"/>
      <c r="ME32" s="9"/>
      <c r="MF32" s="9"/>
      <c r="MG32" s="9"/>
      <c r="MH32" s="9"/>
      <c r="MI32" s="9"/>
      <c r="MJ32" s="9"/>
      <c r="MK32" s="9"/>
      <c r="ML32" s="9"/>
      <c r="MM32" s="9"/>
      <c r="MN32" s="9"/>
      <c r="MO32" s="9"/>
      <c r="MP32" s="9"/>
      <c r="MQ32" s="9"/>
      <c r="MR32" s="9"/>
      <c r="MS32" s="9"/>
      <c r="MT32" s="9"/>
      <c r="MU32" s="9"/>
      <c r="MV32" s="9"/>
      <c r="MW32" s="9"/>
      <c r="MX32" s="9"/>
      <c r="MY32" s="9"/>
      <c r="MZ32" s="9"/>
      <c r="NA32" s="9"/>
      <c r="NB32" s="9"/>
      <c r="NC32" s="9"/>
      <c r="ND32" s="9"/>
      <c r="NE32" s="9"/>
      <c r="NF32" s="9"/>
      <c r="NG32" s="9"/>
      <c r="NH32" s="9"/>
      <c r="NI32" s="9"/>
      <c r="NJ32" s="9"/>
      <c r="NK32" s="9"/>
      <c r="NL32" s="9"/>
      <c r="NM32" s="9"/>
      <c r="NN32" s="9"/>
      <c r="NO32" s="9"/>
      <c r="NP32" s="9"/>
      <c r="NQ32" s="9"/>
      <c r="NR32" s="9"/>
      <c r="NS32" s="9"/>
      <c r="NT32" s="9"/>
      <c r="NU32" s="9"/>
      <c r="NV32" s="9"/>
      <c r="NW32" s="9"/>
      <c r="NX32" s="9"/>
      <c r="NY32" s="9"/>
      <c r="NZ32" s="9"/>
      <c r="OA32" s="9"/>
      <c r="OB32" s="9"/>
      <c r="OC32" s="9"/>
      <c r="OD32" s="9"/>
      <c r="OE32" s="9"/>
      <c r="OF32" s="9"/>
      <c r="OG32" s="9"/>
      <c r="OH32" s="9"/>
      <c r="OI32" s="9"/>
      <c r="OJ32" s="9"/>
      <c r="OK32" s="9"/>
      <c r="OL32" s="9"/>
      <c r="OM32" s="9"/>
      <c r="ON32" s="9"/>
      <c r="OO32" s="9"/>
      <c r="OP32" s="9"/>
      <c r="OQ32" s="9"/>
      <c r="OR32" s="9"/>
      <c r="OS32" s="9"/>
      <c r="OT32" s="9"/>
      <c r="OU32" s="9"/>
      <c r="OV32" s="9"/>
      <c r="OW32" s="9"/>
      <c r="OX32" s="9"/>
      <c r="OY32" s="9"/>
      <c r="OZ32" s="9"/>
      <c r="PA32" s="9"/>
      <c r="PB32" s="9"/>
      <c r="PC32" s="9"/>
      <c r="PD32" s="9"/>
      <c r="PE32" s="9"/>
      <c r="PF32" s="9"/>
      <c r="PG32" s="9"/>
      <c r="PH32" s="9"/>
      <c r="PI32" s="9"/>
      <c r="PJ32" s="9"/>
      <c r="PK32" s="9"/>
      <c r="PL32" s="9"/>
      <c r="PM32" s="9"/>
      <c r="PN32" s="9"/>
      <c r="PO32" s="9"/>
      <c r="PP32" s="9"/>
      <c r="PQ32" s="9"/>
      <c r="PR32" s="9"/>
      <c r="PS32" s="9"/>
      <c r="PT32" s="9"/>
      <c r="PU32" s="9"/>
      <c r="PV32" s="9"/>
      <c r="PW32" s="9"/>
      <c r="PX32" s="9"/>
      <c r="PY32" s="9"/>
      <c r="PZ32" s="9"/>
      <c r="QA32" s="9"/>
      <c r="QB32" s="9"/>
      <c r="QC32" s="9"/>
      <c r="QD32" s="9"/>
      <c r="QE32" s="9"/>
      <c r="QF32" s="9"/>
      <c r="QG32" s="9"/>
      <c r="QH32" s="9"/>
      <c r="QI32" s="9"/>
      <c r="QJ32" s="9"/>
      <c r="QK32" s="9"/>
      <c r="QL32" s="9"/>
      <c r="QM32" s="9"/>
      <c r="QN32" s="9"/>
      <c r="QO32" s="9"/>
      <c r="QP32" s="9"/>
      <c r="QQ32" s="9"/>
      <c r="QR32" s="9"/>
      <c r="QS32" s="9"/>
      <c r="QT32" s="9"/>
      <c r="QU32" s="9"/>
      <c r="QV32" s="9"/>
      <c r="QW32" s="9"/>
      <c r="QX32" s="9"/>
      <c r="QY32" s="9"/>
      <c r="QZ32" s="9"/>
      <c r="RA32" s="9"/>
      <c r="RB32" s="9"/>
      <c r="RC32" s="9"/>
      <c r="RD32" s="9"/>
      <c r="RE32" s="9"/>
      <c r="RF32" s="9"/>
      <c r="RG32" s="9"/>
      <c r="RH32" s="9"/>
      <c r="RI32" s="9"/>
      <c r="RJ32" s="9"/>
      <c r="RK32" s="9"/>
      <c r="RL32" s="9"/>
      <c r="RM32" s="9"/>
      <c r="RN32" s="9"/>
      <c r="RO32" s="9"/>
      <c r="RP32" s="9"/>
      <c r="RQ32" s="9"/>
      <c r="RR32" s="9"/>
      <c r="RS32" s="9"/>
      <c r="RT32" s="9"/>
      <c r="RU32" s="9"/>
      <c r="RV32" s="9"/>
      <c r="RW32" s="9"/>
      <c r="RX32" s="9"/>
      <c r="RY32" s="9"/>
      <c r="RZ32" s="9"/>
      <c r="SA32" s="9"/>
      <c r="SB32" s="9"/>
      <c r="SC32" s="9"/>
      <c r="SD32" s="9"/>
      <c r="SE32" s="9"/>
      <c r="SF32" s="9"/>
      <c r="SG32" s="9"/>
      <c r="SH32" s="9"/>
      <c r="SI32" s="9"/>
      <c r="SJ32" s="9"/>
      <c r="SK32" s="9"/>
      <c r="SL32" s="9"/>
      <c r="SM32" s="9"/>
      <c r="SN32" s="9"/>
      <c r="SO32" s="9"/>
      <c r="SP32" s="9"/>
      <c r="SQ32" s="9"/>
      <c r="SR32" s="9"/>
      <c r="SS32" s="9"/>
      <c r="ST32" s="9"/>
      <c r="SU32" s="9"/>
      <c r="SV32" s="9"/>
      <c r="SW32" s="9"/>
      <c r="SX32" s="9"/>
      <c r="SY32" s="9"/>
      <c r="SZ32" s="9"/>
      <c r="TA32" s="9"/>
      <c r="TB32" s="9"/>
      <c r="TC32" s="9"/>
      <c r="TD32" s="9"/>
      <c r="TE32" s="9"/>
      <c r="TF32" s="9"/>
      <c r="TG32" s="9"/>
      <c r="TH32" s="9"/>
      <c r="TI32" s="9"/>
      <c r="TJ32" s="9"/>
      <c r="TK32" s="9"/>
      <c r="TL32" s="9"/>
      <c r="TM32" s="9"/>
      <c r="TN32" s="9"/>
      <c r="TO32" s="9"/>
      <c r="TP32" s="9"/>
      <c r="TQ32" s="9"/>
      <c r="TR32" s="9"/>
      <c r="TS32" s="9"/>
      <c r="TT32" s="9"/>
      <c r="TU32" s="9"/>
      <c r="TV32" s="9"/>
      <c r="TW32" s="9"/>
      <c r="TX32" s="9"/>
      <c r="TY32" s="9"/>
      <c r="TZ32" s="9"/>
      <c r="UA32" s="9"/>
      <c r="UB32" s="9"/>
      <c r="UC32" s="9"/>
      <c r="UD32" s="9"/>
      <c r="UE32" s="9"/>
      <c r="UF32" s="9"/>
      <c r="UG32" s="9"/>
      <c r="UH32" s="9"/>
      <c r="UI32" s="9"/>
      <c r="UJ32" s="9"/>
      <c r="UK32" s="9"/>
      <c r="UL32" s="9"/>
      <c r="UM32" s="9"/>
    </row>
    <row r="33" spans="1:559" s="133" customFormat="1" ht="11.25" customHeight="1">
      <c r="A33" s="50"/>
      <c r="B33" s="10"/>
      <c r="C33" s="10"/>
      <c r="D33" s="50"/>
      <c r="E33" s="50"/>
      <c r="F33" s="50"/>
      <c r="G33" s="50"/>
      <c r="H33" s="50"/>
      <c r="I33" s="50"/>
      <c r="J33" s="50"/>
      <c r="K33" s="277" t="s">
        <v>1708</v>
      </c>
      <c r="L33" s="46"/>
      <c r="M33" s="357" t="s">
        <v>1715</v>
      </c>
      <c r="N33" s="357"/>
      <c r="O33" s="357"/>
      <c r="P33" s="8"/>
      <c r="Q33" s="275" t="str">
        <f>IF(ISERROR(VLOOKUP(P33,Tools!$D$11:$J$57,7,FALSE)),"",VLOOKUP(P33,Tools!$D$11:$J$57,7,FALSE))</f>
        <v/>
      </c>
      <c r="R33" s="275">
        <v>2</v>
      </c>
      <c r="S33" s="216">
        <v>44286</v>
      </c>
      <c r="T33" s="8">
        <v>2</v>
      </c>
      <c r="U33" s="8" t="s">
        <v>998</v>
      </c>
      <c r="V33" s="275">
        <f>IF(U33=dur_type_d,T33,IF(U33=dur_type_w,IF(Work_D_Only_Bool,T33*5,T33*7),IF(U33=dur_type_m,IF(Work_D_Only_Bool,NETWORKDAYS.INTL(S33,DATE(YEAR(S33),MONTH(S33)+T33,DAY(S33)-1),WE_Days,Holiday_Days),DATE(YEAR(S33),MONTH(S33)+T33,DAY(S33))-S33),"ERROR")))</f>
        <v>2</v>
      </c>
      <c r="W33" s="49"/>
      <c r="X33" s="179">
        <f>IF(V33&gt;0,S33+V33-1,S33+V33+1)</f>
        <v>44287</v>
      </c>
      <c r="Y33" s="47">
        <f>IF(S33&lt;&gt;"",IF($GE$7,W33,X33),"")</f>
        <v>44287</v>
      </c>
      <c r="Z33" s="179">
        <f>IF(T33&gt;0,S33,Y33)</f>
        <v>44286</v>
      </c>
      <c r="AA33" s="179">
        <f>IF(T33&gt;0,Y33,S33)</f>
        <v>44287</v>
      </c>
      <c r="AB33" s="48">
        <v>0</v>
      </c>
      <c r="AC33" s="179">
        <f>INT(Z33+AB33*(AA33-Z33))</f>
        <v>44286</v>
      </c>
      <c r="AD33" s="204">
        <f>IF(AND(AB33&lt;1,AC33&lt;$DC$7),0,1)</f>
        <v>0</v>
      </c>
      <c r="AE33" s="49"/>
      <c r="AF33" s="49"/>
      <c r="AG33" s="49"/>
      <c r="AH33" s="49"/>
      <c r="AI33" s="49"/>
      <c r="AJ33" s="224"/>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B33" s="9"/>
      <c r="JC33" s="9"/>
      <c r="JD33" s="9"/>
      <c r="JE33" s="9"/>
      <c r="JF33" s="9"/>
      <c r="JG33" s="9"/>
      <c r="JH33" s="9"/>
      <c r="JI33" s="9"/>
      <c r="JJ33" s="9"/>
      <c r="JK33" s="9"/>
      <c r="JL33" s="9"/>
      <c r="JM33" s="9"/>
      <c r="JN33" s="9"/>
      <c r="JO33" s="9"/>
      <c r="JP33" s="9"/>
      <c r="JQ33" s="9"/>
      <c r="JR33" s="9"/>
      <c r="JS33" s="9"/>
      <c r="JT33" s="9"/>
      <c r="JU33" s="9"/>
      <c r="JV33" s="9"/>
      <c r="JW33" s="9"/>
      <c r="JX33" s="9"/>
      <c r="JY33" s="9"/>
      <c r="JZ33" s="9"/>
      <c r="KA33" s="9"/>
      <c r="KB33" s="9"/>
      <c r="KC33" s="9"/>
      <c r="KD33" s="9"/>
      <c r="KE33" s="9"/>
      <c r="KF33" s="9"/>
      <c r="KG33" s="9"/>
      <c r="KH33" s="9"/>
      <c r="KI33" s="9"/>
      <c r="KJ33" s="9"/>
      <c r="KK33" s="9"/>
      <c r="KL33" s="9"/>
      <c r="KM33" s="9"/>
      <c r="KN33" s="9"/>
      <c r="KO33" s="9"/>
      <c r="KP33" s="9"/>
      <c r="KQ33" s="9"/>
      <c r="KR33" s="9"/>
      <c r="KS33" s="9"/>
      <c r="KT33" s="9"/>
      <c r="KU33" s="9"/>
      <c r="KV33" s="9"/>
      <c r="KW33" s="9"/>
      <c r="KX33" s="9"/>
      <c r="KY33" s="9"/>
      <c r="KZ33" s="9"/>
      <c r="LA33" s="9"/>
      <c r="LB33" s="9"/>
      <c r="LC33" s="9"/>
      <c r="LD33" s="9"/>
      <c r="LE33" s="9"/>
      <c r="LF33" s="9"/>
      <c r="LG33" s="9"/>
      <c r="LH33" s="9"/>
      <c r="LI33" s="9"/>
      <c r="LJ33" s="9"/>
      <c r="LK33" s="9"/>
      <c r="LL33" s="9"/>
      <c r="LM33" s="9"/>
      <c r="LN33" s="9"/>
      <c r="LO33" s="9"/>
      <c r="LP33" s="9"/>
      <c r="LQ33" s="9"/>
      <c r="LR33" s="9"/>
      <c r="LS33" s="9"/>
      <c r="LT33" s="9"/>
      <c r="LU33" s="9"/>
      <c r="LV33" s="9"/>
      <c r="LW33" s="9"/>
      <c r="LX33" s="9"/>
      <c r="LY33" s="9"/>
      <c r="LZ33" s="9"/>
      <c r="MA33" s="9"/>
      <c r="MB33" s="9"/>
      <c r="MC33" s="9"/>
      <c r="MD33" s="9"/>
      <c r="ME33" s="9"/>
      <c r="MF33" s="9"/>
      <c r="MG33" s="9"/>
      <c r="MH33" s="9"/>
      <c r="MI33" s="9"/>
      <c r="MJ33" s="9"/>
      <c r="MK33" s="9"/>
      <c r="ML33" s="9"/>
      <c r="MM33" s="9"/>
      <c r="MN33" s="9"/>
      <c r="MO33" s="9"/>
      <c r="MP33" s="9"/>
      <c r="MQ33" s="9"/>
      <c r="MR33" s="9"/>
      <c r="MS33" s="9"/>
      <c r="MT33" s="9"/>
      <c r="MU33" s="9"/>
      <c r="MV33" s="9"/>
      <c r="MW33" s="9"/>
      <c r="MX33" s="9"/>
      <c r="MY33" s="9"/>
      <c r="MZ33" s="9"/>
      <c r="NA33" s="9"/>
      <c r="NB33" s="9"/>
      <c r="NC33" s="9"/>
      <c r="ND33" s="9"/>
      <c r="NE33" s="9"/>
      <c r="NF33" s="9"/>
      <c r="NG33" s="9"/>
      <c r="NH33" s="9"/>
      <c r="NI33" s="9"/>
      <c r="NJ33" s="9"/>
      <c r="NK33" s="9"/>
      <c r="NL33" s="9"/>
      <c r="NM33" s="9"/>
      <c r="NN33" s="9"/>
      <c r="NO33" s="9"/>
      <c r="NP33" s="9"/>
      <c r="NQ33" s="9"/>
      <c r="NR33" s="9"/>
      <c r="NS33" s="9"/>
      <c r="NT33" s="9"/>
      <c r="NU33" s="9"/>
      <c r="NV33" s="9"/>
      <c r="NW33" s="9"/>
      <c r="NX33" s="9"/>
      <c r="NY33" s="9"/>
      <c r="NZ33" s="9"/>
      <c r="OA33" s="9"/>
      <c r="OB33" s="9"/>
      <c r="OC33" s="9"/>
      <c r="OD33" s="9"/>
      <c r="OE33" s="9"/>
      <c r="OF33" s="9"/>
      <c r="OG33" s="9"/>
      <c r="OH33" s="9"/>
      <c r="OI33" s="9"/>
      <c r="OJ33" s="9"/>
      <c r="OK33" s="9"/>
      <c r="OL33" s="9"/>
      <c r="OM33" s="9"/>
      <c r="ON33" s="9"/>
      <c r="OO33" s="9"/>
      <c r="OP33" s="9"/>
      <c r="OQ33" s="9"/>
      <c r="OR33" s="9"/>
      <c r="OS33" s="9"/>
      <c r="OT33" s="9"/>
      <c r="OU33" s="9"/>
      <c r="OV33" s="9"/>
      <c r="OW33" s="9"/>
      <c r="OX33" s="9"/>
      <c r="OY33" s="9"/>
      <c r="OZ33" s="9"/>
      <c r="PA33" s="9"/>
      <c r="PB33" s="9"/>
      <c r="PC33" s="9"/>
      <c r="PD33" s="9"/>
      <c r="PE33" s="9"/>
      <c r="PF33" s="9"/>
      <c r="PG33" s="9"/>
      <c r="PH33" s="9"/>
      <c r="PI33" s="9"/>
      <c r="PJ33" s="9"/>
      <c r="PK33" s="9"/>
      <c r="PL33" s="9"/>
      <c r="PM33" s="9"/>
      <c r="PN33" s="9"/>
      <c r="PO33" s="9"/>
      <c r="PP33" s="9"/>
      <c r="PQ33" s="9"/>
      <c r="PR33" s="9"/>
      <c r="PS33" s="9"/>
      <c r="PT33" s="9"/>
      <c r="PU33" s="9"/>
      <c r="PV33" s="9"/>
      <c r="PW33" s="9"/>
      <c r="PX33" s="9"/>
      <c r="PY33" s="9"/>
      <c r="PZ33" s="9"/>
      <c r="QA33" s="9"/>
      <c r="QB33" s="9"/>
      <c r="QC33" s="9"/>
      <c r="QD33" s="9"/>
      <c r="QE33" s="9"/>
      <c r="QF33" s="9"/>
      <c r="QG33" s="9"/>
      <c r="QH33" s="9"/>
      <c r="QI33" s="9"/>
      <c r="QJ33" s="9"/>
      <c r="QK33" s="9"/>
      <c r="QL33" s="9"/>
      <c r="QM33" s="9"/>
      <c r="QN33" s="9"/>
      <c r="QO33" s="9"/>
      <c r="QP33" s="9"/>
      <c r="QQ33" s="9"/>
      <c r="QR33" s="9"/>
      <c r="QS33" s="9"/>
      <c r="QT33" s="9"/>
      <c r="QU33" s="9"/>
      <c r="QV33" s="9"/>
      <c r="QW33" s="9"/>
      <c r="QX33" s="9"/>
      <c r="QY33" s="9"/>
      <c r="QZ33" s="9"/>
      <c r="RA33" s="9"/>
      <c r="RB33" s="9"/>
      <c r="RC33" s="9"/>
      <c r="RD33" s="9"/>
      <c r="RE33" s="9"/>
      <c r="RF33" s="9"/>
      <c r="RG33" s="9"/>
      <c r="RH33" s="9"/>
      <c r="RI33" s="9"/>
      <c r="RJ33" s="9"/>
      <c r="RK33" s="9"/>
      <c r="RL33" s="9"/>
      <c r="RM33" s="9"/>
      <c r="RN33" s="9"/>
      <c r="RO33" s="9"/>
      <c r="RP33" s="9"/>
      <c r="RQ33" s="9"/>
      <c r="RR33" s="9"/>
      <c r="RS33" s="9"/>
      <c r="RT33" s="9"/>
      <c r="RU33" s="9"/>
      <c r="RV33" s="9"/>
      <c r="RW33" s="9"/>
      <c r="RX33" s="9"/>
      <c r="RY33" s="9"/>
      <c r="RZ33" s="9"/>
      <c r="SA33" s="9"/>
      <c r="SB33" s="9"/>
      <c r="SC33" s="9"/>
      <c r="SD33" s="9"/>
      <c r="SE33" s="9"/>
      <c r="SF33" s="9"/>
      <c r="SG33" s="9"/>
      <c r="SH33" s="9"/>
      <c r="SI33" s="9"/>
      <c r="SJ33" s="9"/>
      <c r="SK33" s="9"/>
      <c r="SL33" s="9"/>
      <c r="SM33" s="9"/>
      <c r="SN33" s="9"/>
      <c r="SO33" s="9"/>
      <c r="SP33" s="9"/>
      <c r="SQ33" s="9"/>
      <c r="SR33" s="9"/>
      <c r="SS33" s="9"/>
      <c r="ST33" s="9"/>
      <c r="SU33" s="9"/>
      <c r="SV33" s="9"/>
      <c r="SW33" s="9"/>
      <c r="SX33" s="9"/>
      <c r="SY33" s="9"/>
      <c r="SZ33" s="9"/>
      <c r="TA33" s="9"/>
      <c r="TB33" s="9"/>
      <c r="TC33" s="9"/>
      <c r="TD33" s="9"/>
      <c r="TE33" s="9"/>
      <c r="TF33" s="9"/>
      <c r="TG33" s="9"/>
      <c r="TH33" s="9"/>
      <c r="TI33" s="9"/>
      <c r="TJ33" s="9"/>
      <c r="TK33" s="9"/>
      <c r="TL33" s="9"/>
      <c r="TM33" s="9"/>
      <c r="TN33" s="9"/>
      <c r="TO33" s="9"/>
      <c r="TP33" s="9"/>
      <c r="TQ33" s="9"/>
      <c r="TR33" s="9"/>
      <c r="TS33" s="9"/>
      <c r="TT33" s="9"/>
      <c r="TU33" s="9"/>
      <c r="TV33" s="9"/>
      <c r="TW33" s="9"/>
      <c r="TX33" s="9"/>
      <c r="TY33" s="9"/>
      <c r="TZ33" s="9"/>
      <c r="UA33" s="9"/>
      <c r="UB33" s="9"/>
      <c r="UC33" s="9"/>
      <c r="UD33" s="9"/>
      <c r="UE33" s="9"/>
      <c r="UF33" s="9"/>
      <c r="UG33" s="9"/>
      <c r="UH33" s="9"/>
      <c r="UI33" s="9"/>
      <c r="UJ33" s="9"/>
      <c r="UK33" s="9"/>
      <c r="UL33" s="9"/>
      <c r="UM33" s="9"/>
    </row>
    <row r="34" spans="1:559" s="133" customFormat="1" ht="11.25" customHeight="1">
      <c r="A34" s="50"/>
      <c r="B34" s="10"/>
      <c r="C34" s="10"/>
      <c r="D34" s="50"/>
      <c r="E34" s="50"/>
      <c r="F34" s="50"/>
      <c r="G34" s="50"/>
      <c r="H34" s="50"/>
      <c r="I34" s="50"/>
      <c r="J34" s="50"/>
      <c r="K34" s="277" t="s">
        <v>1709</v>
      </c>
      <c r="L34" s="46"/>
      <c r="M34" s="357" t="s">
        <v>1716</v>
      </c>
      <c r="N34" s="357"/>
      <c r="O34" s="357"/>
      <c r="P34" s="8"/>
      <c r="Q34" s="275" t="str">
        <f>IF(ISERROR(VLOOKUP(P34,Tools!$D$11:$J$57,7,FALSE)),"",VLOOKUP(P34,Tools!$D$11:$J$57,7,FALSE))</f>
        <v/>
      </c>
      <c r="R34" s="275">
        <v>2</v>
      </c>
      <c r="S34" s="216">
        <v>44287</v>
      </c>
      <c r="T34" s="8">
        <v>2</v>
      </c>
      <c r="U34" s="8" t="s">
        <v>998</v>
      </c>
      <c r="V34" s="275">
        <f>IF(U34=dur_type_d,T34,IF(U34=dur_type_w,IF(Work_D_Only_Bool,T34*5,T34*7),IF(U34=dur_type_m,IF(Work_D_Only_Bool,NETWORKDAYS.INTL(S34,DATE(YEAR(S34),MONTH(S34)+T34,DAY(S34)-1),WE_Days,Holiday_Days),DATE(YEAR(S34),MONTH(S34)+T34,DAY(S34))-S34),"ERROR")))</f>
        <v>2</v>
      </c>
      <c r="W34" s="49"/>
      <c r="X34" s="179">
        <f>IF(V34&gt;0,S34+V34-1,S34+V34+1)</f>
        <v>44288</v>
      </c>
      <c r="Y34" s="47">
        <f>IF(S34&lt;&gt;"",IF($GE$7,W34,X34),"")</f>
        <v>44288</v>
      </c>
      <c r="Z34" s="179">
        <f>IF(T34&gt;0,S34,Y34)</f>
        <v>44287</v>
      </c>
      <c r="AA34" s="179">
        <f>IF(T34&gt;0,Y34,S34)</f>
        <v>44288</v>
      </c>
      <c r="AB34" s="48">
        <v>0</v>
      </c>
      <c r="AC34" s="179">
        <f>INT(Z34+AB34*(AA34-Z34))</f>
        <v>44287</v>
      </c>
      <c r="AD34" s="204">
        <f>IF(AND(AB34&lt;1,AC34&lt;$DC$7),0,1)</f>
        <v>0</v>
      </c>
      <c r="AE34" s="49"/>
      <c r="AF34" s="49"/>
      <c r="AG34" s="49"/>
      <c r="AH34" s="49"/>
      <c r="AI34" s="49"/>
      <c r="AJ34" s="224"/>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C34" s="9"/>
      <c r="JD34" s="9"/>
      <c r="JE34" s="9"/>
      <c r="JF34" s="9"/>
      <c r="JG34" s="9"/>
      <c r="JH34" s="9"/>
      <c r="JI34" s="9"/>
      <c r="JJ34" s="9"/>
      <c r="JK34" s="9"/>
      <c r="JL34" s="9"/>
      <c r="JM34" s="9"/>
      <c r="JN34" s="9"/>
      <c r="JO34" s="9"/>
      <c r="JP34" s="9"/>
      <c r="JQ34" s="9"/>
      <c r="JR34" s="9"/>
      <c r="JS34" s="9"/>
      <c r="JT34" s="9"/>
      <c r="JU34" s="9"/>
      <c r="JV34" s="9"/>
      <c r="JW34" s="9"/>
      <c r="JX34" s="9"/>
      <c r="JY34" s="9"/>
      <c r="JZ34" s="9"/>
      <c r="KA34" s="9"/>
      <c r="KB34" s="9"/>
      <c r="KC34" s="9"/>
      <c r="KD34" s="9"/>
      <c r="KE34" s="9"/>
      <c r="KF34" s="9"/>
      <c r="KG34" s="9"/>
      <c r="KH34" s="9"/>
      <c r="KI34" s="9"/>
      <c r="KJ34" s="9"/>
      <c r="KK34" s="9"/>
      <c r="KL34" s="9"/>
      <c r="KM34" s="9"/>
      <c r="KN34" s="9"/>
      <c r="KO34" s="9"/>
      <c r="KP34" s="9"/>
      <c r="KQ34" s="9"/>
      <c r="KR34" s="9"/>
      <c r="KS34" s="9"/>
      <c r="KT34" s="9"/>
      <c r="KU34" s="9"/>
      <c r="KV34" s="9"/>
      <c r="KW34" s="9"/>
      <c r="KX34" s="9"/>
      <c r="KY34" s="9"/>
      <c r="KZ34" s="9"/>
      <c r="LA34" s="9"/>
      <c r="LB34" s="9"/>
      <c r="LC34" s="9"/>
      <c r="LD34" s="9"/>
      <c r="LE34" s="9"/>
      <c r="LF34" s="9"/>
      <c r="LG34" s="9"/>
      <c r="LH34" s="9"/>
      <c r="LI34" s="9"/>
      <c r="LJ34" s="9"/>
      <c r="LK34" s="9"/>
      <c r="LL34" s="9"/>
      <c r="LM34" s="9"/>
      <c r="LN34" s="9"/>
      <c r="LO34" s="9"/>
      <c r="LP34" s="9"/>
      <c r="LQ34" s="9"/>
      <c r="LR34" s="9"/>
      <c r="LS34" s="9"/>
      <c r="LT34" s="9"/>
      <c r="LU34" s="9"/>
      <c r="LV34" s="9"/>
      <c r="LW34" s="9"/>
      <c r="LX34" s="9"/>
      <c r="LY34" s="9"/>
      <c r="LZ34" s="9"/>
      <c r="MA34" s="9"/>
      <c r="MB34" s="9"/>
      <c r="MC34" s="9"/>
      <c r="MD34" s="9"/>
      <c r="ME34" s="9"/>
      <c r="MF34" s="9"/>
      <c r="MG34" s="9"/>
      <c r="MH34" s="9"/>
      <c r="MI34" s="9"/>
      <c r="MJ34" s="9"/>
      <c r="MK34" s="9"/>
      <c r="ML34" s="9"/>
      <c r="MM34" s="9"/>
      <c r="MN34" s="9"/>
      <c r="MO34" s="9"/>
      <c r="MP34" s="9"/>
      <c r="MQ34" s="9"/>
      <c r="MR34" s="9"/>
      <c r="MS34" s="9"/>
      <c r="MT34" s="9"/>
      <c r="MU34" s="9"/>
      <c r="MV34" s="9"/>
      <c r="MW34" s="9"/>
      <c r="MX34" s="9"/>
      <c r="MY34" s="9"/>
      <c r="MZ34" s="9"/>
      <c r="NA34" s="9"/>
      <c r="NB34" s="9"/>
      <c r="NC34" s="9"/>
      <c r="ND34" s="9"/>
      <c r="NE34" s="9"/>
      <c r="NF34" s="9"/>
      <c r="NG34" s="9"/>
      <c r="NH34" s="9"/>
      <c r="NI34" s="9"/>
      <c r="NJ34" s="9"/>
      <c r="NK34" s="9"/>
      <c r="NL34" s="9"/>
      <c r="NM34" s="9"/>
      <c r="NN34" s="9"/>
      <c r="NO34" s="9"/>
      <c r="NP34" s="9"/>
      <c r="NQ34" s="9"/>
      <c r="NR34" s="9"/>
      <c r="NS34" s="9"/>
      <c r="NT34" s="9"/>
      <c r="NU34" s="9"/>
      <c r="NV34" s="9"/>
      <c r="NW34" s="9"/>
      <c r="NX34" s="9"/>
      <c r="NY34" s="9"/>
      <c r="NZ34" s="9"/>
      <c r="OA34" s="9"/>
      <c r="OB34" s="9"/>
      <c r="OC34" s="9"/>
      <c r="OD34" s="9"/>
      <c r="OE34" s="9"/>
      <c r="OF34" s="9"/>
      <c r="OG34" s="9"/>
      <c r="OH34" s="9"/>
      <c r="OI34" s="9"/>
      <c r="OJ34" s="9"/>
      <c r="OK34" s="9"/>
      <c r="OL34" s="9"/>
      <c r="OM34" s="9"/>
      <c r="ON34" s="9"/>
      <c r="OO34" s="9"/>
      <c r="OP34" s="9"/>
      <c r="OQ34" s="9"/>
      <c r="OR34" s="9"/>
      <c r="OS34" s="9"/>
      <c r="OT34" s="9"/>
      <c r="OU34" s="9"/>
      <c r="OV34" s="9"/>
      <c r="OW34" s="9"/>
      <c r="OX34" s="9"/>
      <c r="OY34" s="9"/>
      <c r="OZ34" s="9"/>
      <c r="PA34" s="9"/>
      <c r="PB34" s="9"/>
      <c r="PC34" s="9"/>
      <c r="PD34" s="9"/>
      <c r="PE34" s="9"/>
      <c r="PF34" s="9"/>
      <c r="PG34" s="9"/>
      <c r="PH34" s="9"/>
      <c r="PI34" s="9"/>
      <c r="PJ34" s="9"/>
      <c r="PK34" s="9"/>
      <c r="PL34" s="9"/>
      <c r="PM34" s="9"/>
      <c r="PN34" s="9"/>
      <c r="PO34" s="9"/>
      <c r="PP34" s="9"/>
      <c r="PQ34" s="9"/>
      <c r="PR34" s="9"/>
      <c r="PS34" s="9"/>
      <c r="PT34" s="9"/>
      <c r="PU34" s="9"/>
      <c r="PV34" s="9"/>
      <c r="PW34" s="9"/>
      <c r="PX34" s="9"/>
      <c r="PY34" s="9"/>
      <c r="PZ34" s="9"/>
      <c r="QA34" s="9"/>
      <c r="QB34" s="9"/>
      <c r="QC34" s="9"/>
      <c r="QD34" s="9"/>
      <c r="QE34" s="9"/>
      <c r="QF34" s="9"/>
      <c r="QG34" s="9"/>
      <c r="QH34" s="9"/>
      <c r="QI34" s="9"/>
      <c r="QJ34" s="9"/>
      <c r="QK34" s="9"/>
      <c r="QL34" s="9"/>
      <c r="QM34" s="9"/>
      <c r="QN34" s="9"/>
      <c r="QO34" s="9"/>
      <c r="QP34" s="9"/>
      <c r="QQ34" s="9"/>
      <c r="QR34" s="9"/>
      <c r="QS34" s="9"/>
      <c r="QT34" s="9"/>
      <c r="QU34" s="9"/>
      <c r="QV34" s="9"/>
      <c r="QW34" s="9"/>
      <c r="QX34" s="9"/>
      <c r="QY34" s="9"/>
      <c r="QZ34" s="9"/>
      <c r="RA34" s="9"/>
      <c r="RB34" s="9"/>
      <c r="RC34" s="9"/>
      <c r="RD34" s="9"/>
      <c r="RE34" s="9"/>
      <c r="RF34" s="9"/>
      <c r="RG34" s="9"/>
      <c r="RH34" s="9"/>
      <c r="RI34" s="9"/>
      <c r="RJ34" s="9"/>
      <c r="RK34" s="9"/>
      <c r="RL34" s="9"/>
      <c r="RM34" s="9"/>
      <c r="RN34" s="9"/>
      <c r="RO34" s="9"/>
      <c r="RP34" s="9"/>
      <c r="RQ34" s="9"/>
      <c r="RR34" s="9"/>
      <c r="RS34" s="9"/>
      <c r="RT34" s="9"/>
      <c r="RU34" s="9"/>
      <c r="RV34" s="9"/>
      <c r="RW34" s="9"/>
      <c r="RX34" s="9"/>
      <c r="RY34" s="9"/>
      <c r="RZ34" s="9"/>
      <c r="SA34" s="9"/>
      <c r="SB34" s="9"/>
      <c r="SC34" s="9"/>
      <c r="SD34" s="9"/>
      <c r="SE34" s="9"/>
      <c r="SF34" s="9"/>
      <c r="SG34" s="9"/>
      <c r="SH34" s="9"/>
      <c r="SI34" s="9"/>
      <c r="SJ34" s="9"/>
      <c r="SK34" s="9"/>
      <c r="SL34" s="9"/>
      <c r="SM34" s="9"/>
      <c r="SN34" s="9"/>
      <c r="SO34" s="9"/>
      <c r="SP34" s="9"/>
      <c r="SQ34" s="9"/>
      <c r="SR34" s="9"/>
      <c r="SS34" s="9"/>
      <c r="ST34" s="9"/>
      <c r="SU34" s="9"/>
      <c r="SV34" s="9"/>
      <c r="SW34" s="9"/>
      <c r="SX34" s="9"/>
      <c r="SY34" s="9"/>
      <c r="SZ34" s="9"/>
      <c r="TA34" s="9"/>
      <c r="TB34" s="9"/>
      <c r="TC34" s="9"/>
      <c r="TD34" s="9"/>
      <c r="TE34" s="9"/>
      <c r="TF34" s="9"/>
      <c r="TG34" s="9"/>
      <c r="TH34" s="9"/>
      <c r="TI34" s="9"/>
      <c r="TJ34" s="9"/>
      <c r="TK34" s="9"/>
      <c r="TL34" s="9"/>
      <c r="TM34" s="9"/>
      <c r="TN34" s="9"/>
      <c r="TO34" s="9"/>
      <c r="TP34" s="9"/>
      <c r="TQ34" s="9"/>
      <c r="TR34" s="9"/>
      <c r="TS34" s="9"/>
      <c r="TT34" s="9"/>
      <c r="TU34" s="9"/>
      <c r="TV34" s="9"/>
      <c r="TW34" s="9"/>
      <c r="TX34" s="9"/>
      <c r="TY34" s="9"/>
      <c r="TZ34" s="9"/>
      <c r="UA34" s="9"/>
      <c r="UB34" s="9"/>
      <c r="UC34" s="9"/>
      <c r="UD34" s="9"/>
      <c r="UE34" s="9"/>
      <c r="UF34" s="9"/>
      <c r="UG34" s="9"/>
      <c r="UH34" s="9"/>
      <c r="UI34" s="9"/>
      <c r="UJ34" s="9"/>
      <c r="UK34" s="9"/>
      <c r="UL34" s="9"/>
      <c r="UM34" s="9"/>
    </row>
    <row r="35" spans="1:559" s="133" customFormat="1" ht="15">
      <c r="A35" s="22"/>
      <c r="B35" s="22"/>
      <c r="C35" s="22"/>
      <c r="D35" s="22"/>
      <c r="E35" s="22"/>
      <c r="F35" s="22"/>
      <c r="G35" s="22"/>
      <c r="H35" s="22"/>
      <c r="I35" s="22"/>
      <c r="J35" s="50"/>
      <c r="K35" s="59">
        <v>3</v>
      </c>
      <c r="L35" s="202"/>
      <c r="M35" s="356" t="s">
        <v>1722</v>
      </c>
      <c r="N35" s="356"/>
      <c r="O35" s="356"/>
      <c r="P35" s="287"/>
      <c r="Q35" s="274"/>
      <c r="R35" s="274">
        <v>1</v>
      </c>
      <c r="S35" s="284">
        <f>MIN(Z36:Z39)</f>
        <v>44263</v>
      </c>
      <c r="T35" s="278">
        <f>Y35-S35+1</f>
        <v>5</v>
      </c>
      <c r="U35" s="272"/>
      <c r="V35" s="288"/>
      <c r="W35" s="203"/>
      <c r="X35" s="178"/>
      <c r="Y35" s="43">
        <f>MAX(AA36:AA39)</f>
        <v>44267</v>
      </c>
      <c r="Z35" s="178"/>
      <c r="AA35" s="178"/>
      <c r="AB35" s="45">
        <f>SUMPRODUCT(AA36:AA39,AB36:AB39)/SUM(AA36:AA39)</f>
        <v>0.92499816447439021</v>
      </c>
      <c r="AC35" s="178">
        <f>S35-1+AB35*T35</f>
        <v>44266.624990822369</v>
      </c>
      <c r="AD35" s="205">
        <f>IF(AB35&lt;&gt;"",IF(AND(AB35&lt;1,AC35&lt;$DC$7),0,1))</f>
        <v>0</v>
      </c>
      <c r="AE35" s="203"/>
      <c r="AF35" s="203"/>
      <c r="AG35" s="203"/>
      <c r="AH35" s="203"/>
      <c r="AI35" s="203"/>
      <c r="AJ35" s="20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6"/>
      <c r="ER35" s="6"/>
      <c r="ES35" s="6"/>
      <c r="ET35" s="6"/>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6"/>
      <c r="FU35" s="6"/>
      <c r="FV35" s="6"/>
      <c r="FW35" s="6"/>
      <c r="FX35" s="6"/>
      <c r="FY35" s="6"/>
      <c r="FZ35" s="6"/>
      <c r="GA35" s="6"/>
      <c r="GB35" s="6"/>
      <c r="GC35" s="6"/>
      <c r="GD35" s="6"/>
      <c r="GE35" s="6"/>
      <c r="GF35" s="6"/>
      <c r="GG35" s="6"/>
      <c r="GH35" s="6"/>
      <c r="GI35" s="6"/>
      <c r="GJ35" s="6"/>
      <c r="GK35" s="6"/>
      <c r="GL35" s="6"/>
      <c r="GM35" s="6"/>
      <c r="GN35" s="6"/>
      <c r="GO35" s="6"/>
      <c r="GP35" s="6"/>
      <c r="GQ35" s="6"/>
      <c r="GR35" s="6"/>
      <c r="GS35" s="6"/>
      <c r="GT35" s="6"/>
      <c r="GU35" s="6"/>
      <c r="GV35" s="6"/>
      <c r="GW35" s="6"/>
      <c r="GX35" s="6"/>
      <c r="GY35" s="6"/>
      <c r="GZ35" s="6"/>
      <c r="HA35" s="6"/>
      <c r="HB35" s="6"/>
      <c r="HC35" s="6"/>
      <c r="HD35" s="6"/>
      <c r="HE35" s="6"/>
      <c r="HF35" s="6"/>
      <c r="HG35" s="6"/>
      <c r="HH35" s="6"/>
      <c r="HI35" s="6"/>
      <c r="HJ35" s="6"/>
      <c r="HK35" s="6"/>
      <c r="HL35" s="6"/>
      <c r="HM35" s="6"/>
      <c r="HN35" s="6"/>
      <c r="HO35" s="6"/>
      <c r="HP35" s="6"/>
      <c r="HQ35" s="6"/>
      <c r="HR35" s="6"/>
      <c r="HS35" s="6"/>
      <c r="HT35" s="6"/>
      <c r="HU35" s="6"/>
      <c r="HV35" s="6"/>
      <c r="HW35" s="6"/>
      <c r="HX35" s="6"/>
      <c r="HY35" s="6"/>
      <c r="HZ35" s="6"/>
      <c r="IA35" s="6"/>
      <c r="IB35" s="6"/>
      <c r="IC35" s="6"/>
      <c r="ID35" s="6"/>
      <c r="IE35" s="6"/>
      <c r="IF35" s="6"/>
      <c r="IG35" s="6"/>
      <c r="IH35" s="6"/>
      <c r="II35" s="6"/>
      <c r="IJ35" s="6"/>
      <c r="IK35" s="6"/>
      <c r="IL35" s="6"/>
      <c r="IM35" s="6"/>
      <c r="IN35" s="6"/>
      <c r="IO35" s="6"/>
      <c r="IP35" s="6"/>
      <c r="IQ35" s="6"/>
      <c r="IR35" s="6"/>
      <c r="IS35" s="6"/>
      <c r="IT35" s="6"/>
      <c r="IU35" s="6"/>
      <c r="IV35" s="6"/>
      <c r="IW35" s="6"/>
      <c r="IX35" s="6"/>
      <c r="IY35" s="6"/>
      <c r="IZ35" s="6"/>
      <c r="JA35" s="6"/>
      <c r="JB35" s="6"/>
      <c r="JC35" s="6"/>
      <c r="JD35" s="6"/>
      <c r="JE35" s="6"/>
      <c r="JF35" s="6"/>
      <c r="JG35" s="6"/>
      <c r="JH35" s="6"/>
      <c r="JI35" s="6"/>
      <c r="JJ35" s="6"/>
      <c r="JK35" s="6"/>
      <c r="JL35" s="6"/>
      <c r="JM35" s="6"/>
      <c r="JN35" s="6"/>
      <c r="JO35" s="6"/>
      <c r="JP35" s="6"/>
      <c r="JQ35" s="6"/>
      <c r="JR35" s="6"/>
      <c r="JS35" s="6"/>
      <c r="JT35" s="6"/>
      <c r="JU35" s="6"/>
      <c r="JV35" s="6"/>
      <c r="JW35" s="6"/>
      <c r="JX35" s="6"/>
      <c r="JY35" s="6"/>
      <c r="JZ35" s="6"/>
      <c r="KA35" s="6"/>
      <c r="KB35" s="6"/>
      <c r="KC35" s="6"/>
      <c r="KD35" s="6"/>
      <c r="KE35" s="6"/>
      <c r="KF35" s="6"/>
      <c r="KG35" s="6"/>
      <c r="KH35" s="6"/>
      <c r="KI35" s="6"/>
      <c r="KJ35" s="6"/>
      <c r="KK35" s="6"/>
      <c r="KL35" s="6"/>
      <c r="KM35" s="6"/>
      <c r="KN35" s="6"/>
      <c r="KO35" s="6"/>
      <c r="KP35" s="6"/>
      <c r="KQ35" s="6"/>
      <c r="KR35" s="6"/>
      <c r="KS35" s="6"/>
      <c r="KT35" s="6"/>
      <c r="KU35" s="6"/>
      <c r="KV35" s="6"/>
      <c r="KW35" s="6"/>
      <c r="KX35" s="6"/>
      <c r="KY35" s="6"/>
      <c r="KZ35" s="6"/>
      <c r="LA35" s="6"/>
      <c r="LB35" s="6"/>
      <c r="LC35" s="6"/>
      <c r="LD35" s="6"/>
      <c r="LE35" s="6"/>
      <c r="LF35" s="6"/>
      <c r="LG35" s="6"/>
      <c r="LH35" s="6"/>
      <c r="LI35" s="6"/>
      <c r="LJ35" s="6"/>
      <c r="LK35" s="6"/>
      <c r="LL35" s="6"/>
      <c r="LM35" s="6"/>
      <c r="LN35" s="6"/>
      <c r="LO35" s="6"/>
      <c r="LP35" s="6"/>
      <c r="LQ35" s="6"/>
      <c r="LR35" s="6"/>
      <c r="LS35" s="6"/>
      <c r="LT35" s="6"/>
      <c r="LU35" s="6"/>
      <c r="LV35" s="6"/>
      <c r="LW35" s="6"/>
      <c r="LX35" s="6"/>
      <c r="LY35" s="6"/>
      <c r="LZ35" s="6"/>
      <c r="MA35" s="6"/>
      <c r="MB35" s="6"/>
      <c r="MC35" s="6"/>
      <c r="MD35" s="6"/>
      <c r="ME35" s="6"/>
      <c r="MF35" s="6"/>
      <c r="MG35" s="6"/>
      <c r="MH35" s="6"/>
      <c r="MI35" s="6"/>
      <c r="MJ35" s="6"/>
      <c r="MK35" s="6"/>
      <c r="ML35" s="6"/>
      <c r="MM35" s="6"/>
      <c r="MN35" s="6"/>
      <c r="MO35" s="6"/>
      <c r="MP35" s="6"/>
      <c r="MQ35" s="6"/>
      <c r="MR35" s="6"/>
      <c r="MS35" s="6"/>
      <c r="MT35" s="6"/>
      <c r="MU35" s="6"/>
      <c r="MV35" s="6"/>
      <c r="MW35" s="6"/>
      <c r="MX35" s="6"/>
      <c r="MY35" s="6"/>
      <c r="MZ35" s="6"/>
      <c r="NA35" s="6"/>
      <c r="NB35" s="6"/>
      <c r="NC35" s="6"/>
      <c r="ND35" s="6"/>
      <c r="NE35" s="6"/>
      <c r="NF35" s="6"/>
      <c r="NG35" s="6"/>
      <c r="NH35" s="6"/>
      <c r="NI35" s="6"/>
      <c r="NJ35" s="6"/>
      <c r="NK35" s="6"/>
      <c r="NL35" s="6"/>
      <c r="NM35" s="6"/>
      <c r="NN35" s="6"/>
      <c r="NO35" s="6"/>
      <c r="NP35" s="6"/>
      <c r="NQ35" s="6"/>
      <c r="NR35" s="6"/>
      <c r="NS35" s="6"/>
      <c r="NT35" s="6"/>
      <c r="NU35" s="6"/>
      <c r="NV35" s="6"/>
      <c r="NW35" s="6"/>
      <c r="NX35" s="6"/>
      <c r="NY35" s="6"/>
      <c r="NZ35" s="6"/>
      <c r="OA35" s="6"/>
      <c r="OB35" s="6"/>
      <c r="OC35" s="6"/>
      <c r="OD35" s="6"/>
      <c r="OE35" s="6"/>
      <c r="OF35" s="6"/>
      <c r="OG35" s="6"/>
      <c r="OH35" s="6"/>
      <c r="OI35" s="6"/>
      <c r="OJ35" s="6"/>
      <c r="OK35" s="6"/>
      <c r="OL35" s="6"/>
      <c r="OM35" s="6"/>
      <c r="ON35" s="6"/>
      <c r="OO35" s="6"/>
      <c r="OP35" s="6"/>
      <c r="OQ35" s="6"/>
      <c r="OR35" s="6"/>
      <c r="OS35" s="6"/>
      <c r="OT35" s="6"/>
      <c r="OU35" s="6"/>
      <c r="OV35" s="6"/>
      <c r="OW35" s="6"/>
      <c r="OX35" s="6"/>
      <c r="OY35" s="6"/>
      <c r="OZ35" s="6"/>
      <c r="PA35" s="6"/>
      <c r="PB35" s="6"/>
      <c r="PC35" s="6"/>
      <c r="PD35" s="6"/>
      <c r="PE35" s="6"/>
      <c r="PF35" s="6"/>
      <c r="PG35" s="6"/>
      <c r="PH35" s="6"/>
      <c r="PI35" s="6"/>
      <c r="PJ35" s="6"/>
      <c r="PK35" s="6"/>
      <c r="PL35" s="6"/>
      <c r="PM35" s="6"/>
      <c r="PN35" s="6"/>
      <c r="PO35" s="6"/>
      <c r="PP35" s="6"/>
      <c r="PQ35" s="6"/>
      <c r="PR35" s="6"/>
      <c r="PS35" s="6"/>
      <c r="PT35" s="6"/>
      <c r="PU35" s="6"/>
      <c r="PV35" s="6"/>
      <c r="PW35" s="6"/>
      <c r="PX35" s="6"/>
      <c r="PY35" s="6"/>
      <c r="PZ35" s="6"/>
      <c r="QA35" s="6"/>
      <c r="QB35" s="6"/>
      <c r="QC35" s="6"/>
      <c r="QD35" s="6"/>
      <c r="QE35" s="6"/>
      <c r="QF35" s="6"/>
      <c r="QG35" s="6"/>
      <c r="QH35" s="6"/>
      <c r="QI35" s="6"/>
      <c r="QJ35" s="6"/>
      <c r="QK35" s="6"/>
      <c r="QL35" s="6"/>
      <c r="QM35" s="6"/>
      <c r="QN35" s="6"/>
      <c r="QO35" s="6"/>
      <c r="QP35" s="6"/>
      <c r="QQ35" s="6"/>
      <c r="QR35" s="6"/>
      <c r="QS35" s="6"/>
      <c r="QT35" s="6"/>
      <c r="QU35" s="6"/>
      <c r="QV35" s="6"/>
      <c r="QW35" s="6"/>
      <c r="QX35" s="6"/>
      <c r="QY35" s="6"/>
      <c r="QZ35" s="6"/>
      <c r="RA35" s="6"/>
      <c r="RB35" s="6"/>
      <c r="RC35" s="6"/>
      <c r="RD35" s="6"/>
      <c r="RE35" s="6"/>
      <c r="RF35" s="6"/>
      <c r="RG35" s="6"/>
      <c r="RH35" s="6"/>
      <c r="RI35" s="6"/>
      <c r="RJ35" s="6"/>
      <c r="RK35" s="6"/>
      <c r="RL35" s="6"/>
      <c r="RM35" s="6"/>
      <c r="RN35" s="6"/>
      <c r="RO35" s="6"/>
      <c r="RP35" s="6"/>
      <c r="RQ35" s="6"/>
      <c r="RR35" s="6"/>
      <c r="RS35" s="6"/>
      <c r="RT35" s="6"/>
      <c r="RU35" s="6"/>
      <c r="RV35" s="6"/>
      <c r="RW35" s="6"/>
      <c r="RX35" s="6"/>
      <c r="RY35" s="6"/>
      <c r="RZ35" s="6"/>
      <c r="SA35" s="6"/>
      <c r="SB35" s="6"/>
      <c r="SC35" s="6"/>
      <c r="SD35" s="6"/>
      <c r="SE35" s="6"/>
      <c r="SF35" s="6"/>
      <c r="SG35" s="6"/>
      <c r="SH35" s="6"/>
      <c r="SI35" s="6"/>
      <c r="SJ35" s="6"/>
      <c r="SK35" s="6"/>
      <c r="SL35" s="6"/>
      <c r="SM35" s="6"/>
      <c r="SN35" s="6"/>
      <c r="SO35" s="6"/>
      <c r="SP35" s="6"/>
      <c r="SQ35" s="6"/>
      <c r="SR35" s="6"/>
      <c r="SS35" s="6"/>
      <c r="ST35" s="6"/>
      <c r="SU35" s="6"/>
      <c r="SV35" s="6"/>
      <c r="SW35" s="6"/>
      <c r="SX35" s="6"/>
      <c r="SY35" s="6"/>
      <c r="SZ35" s="6"/>
      <c r="TA35" s="6"/>
      <c r="TB35" s="6"/>
      <c r="TC35" s="6"/>
      <c r="TD35" s="6"/>
      <c r="TE35" s="6"/>
      <c r="TF35" s="6"/>
      <c r="TG35" s="6"/>
      <c r="TH35" s="6"/>
      <c r="TI35" s="6"/>
      <c r="TJ35" s="6"/>
      <c r="TK35" s="6"/>
      <c r="TL35" s="6"/>
      <c r="TM35" s="6"/>
      <c r="TN35" s="6"/>
      <c r="TO35" s="6"/>
      <c r="TP35" s="6"/>
      <c r="TQ35" s="6"/>
      <c r="TR35" s="6"/>
      <c r="TS35" s="6"/>
      <c r="TT35" s="6"/>
      <c r="TU35" s="6"/>
      <c r="TV35" s="6"/>
      <c r="TW35" s="6"/>
      <c r="TX35" s="6"/>
      <c r="TY35" s="6"/>
      <c r="TZ35" s="6"/>
      <c r="UA35" s="6"/>
      <c r="UB35" s="6"/>
      <c r="UC35" s="6"/>
      <c r="UD35" s="6"/>
      <c r="UE35" s="6"/>
      <c r="UF35" s="6"/>
      <c r="UG35" s="6"/>
      <c r="UH35" s="6"/>
      <c r="UI35" s="6"/>
      <c r="UJ35" s="6"/>
      <c r="UK35" s="6"/>
      <c r="UL35" s="6"/>
      <c r="UM35" s="6"/>
    </row>
    <row r="36" spans="1:559" s="133" customFormat="1" ht="11.25" customHeight="1">
      <c r="A36" s="50"/>
      <c r="B36" s="10"/>
      <c r="C36" s="10"/>
      <c r="D36" s="50"/>
      <c r="E36" s="50"/>
      <c r="F36" s="50"/>
      <c r="G36" s="50"/>
      <c r="H36" s="50"/>
      <c r="I36" s="50"/>
      <c r="J36" s="50"/>
      <c r="K36" s="277" t="s">
        <v>1013</v>
      </c>
      <c r="L36" s="46"/>
      <c r="M36" s="357" t="s">
        <v>1717</v>
      </c>
      <c r="N36" s="357"/>
      <c r="O36" s="357"/>
      <c r="P36" s="8"/>
      <c r="Q36" s="275" t="str">
        <f>IF(ISERROR(VLOOKUP(P36,Tools!$D$11:$J$57,7,FALSE)),"",VLOOKUP(P36,Tools!$D$11:$J$57,7,FALSE))</f>
        <v/>
      </c>
      <c r="R36" s="275">
        <v>2</v>
      </c>
      <c r="S36" s="216">
        <v>44263</v>
      </c>
      <c r="T36" s="8">
        <v>3</v>
      </c>
      <c r="U36" s="8" t="s">
        <v>998</v>
      </c>
      <c r="V36" s="275">
        <f>IF(U36=dur_type_d,T36,IF(U36=dur_type_w,IF(Work_D_Only_Bool,T36*5,T36*7),IF(U36=dur_type_m,IF(Work_D_Only_Bool,NETWORKDAYS.INTL(S36,DATE(YEAR(S36),MONTH(S36)+T36,DAY(S36)-1),WE_Days,Holiday_Days),DATE(YEAR(S36),MONTH(S36)+T36,DAY(S36))-S36),"ERROR")))</f>
        <v>3</v>
      </c>
      <c r="W36" s="49"/>
      <c r="X36" s="179">
        <f t="shared" ref="X36" si="125">IF(V36&gt;0,S36+V36-1,S36+V36+1)</f>
        <v>44265</v>
      </c>
      <c r="Y36" s="47">
        <f>IF(S36&lt;&gt;"",IF($GE$7,W36,X36),"")</f>
        <v>44265</v>
      </c>
      <c r="Z36" s="179">
        <f t="shared" ref="Z36" si="126">IF(T36&gt;0,S36,Y36)</f>
        <v>44263</v>
      </c>
      <c r="AA36" s="179">
        <f t="shared" ref="AA36" si="127">IF(T36&gt;0,Y36,S36)</f>
        <v>44265</v>
      </c>
      <c r="AB36" s="48">
        <v>0.9</v>
      </c>
      <c r="AC36" s="179">
        <f t="shared" ref="AC36" si="128">INT(Z36+AB36*(AA36-Z36))</f>
        <v>44264</v>
      </c>
      <c r="AD36" s="204">
        <f t="shared" ref="AD36" si="129">IF(AND(AB36&lt;1,AC36&lt;$DC$7),0,1)</f>
        <v>0</v>
      </c>
      <c r="AE36" s="49"/>
      <c r="AF36" s="49"/>
      <c r="AG36" s="49"/>
      <c r="AH36" s="49"/>
      <c r="AI36" s="49"/>
      <c r="AJ36" s="224"/>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C36" s="9"/>
      <c r="JD36" s="9"/>
      <c r="JE36" s="9"/>
      <c r="JF36" s="9"/>
      <c r="JG36" s="9"/>
      <c r="JH36" s="9"/>
      <c r="JI36" s="9"/>
      <c r="JJ36" s="9"/>
      <c r="JK36" s="9"/>
      <c r="JL36" s="9"/>
      <c r="JM36" s="9"/>
      <c r="JN36" s="9"/>
      <c r="JO36" s="9"/>
      <c r="JP36" s="9"/>
      <c r="JQ36" s="9"/>
      <c r="JR36" s="9"/>
      <c r="JS36" s="9"/>
      <c r="JT36" s="9"/>
      <c r="JU36" s="9"/>
      <c r="JV36" s="9"/>
      <c r="JW36" s="9"/>
      <c r="JX36" s="9"/>
      <c r="JY36" s="9"/>
      <c r="JZ36" s="9"/>
      <c r="KA36" s="9"/>
      <c r="KB36" s="9"/>
      <c r="KC36" s="9"/>
      <c r="KD36" s="9"/>
      <c r="KE36" s="9"/>
      <c r="KF36" s="9"/>
      <c r="KG36" s="9"/>
      <c r="KH36" s="9"/>
      <c r="KI36" s="9"/>
      <c r="KJ36" s="9"/>
      <c r="KK36" s="9"/>
      <c r="KL36" s="9"/>
      <c r="KM36" s="9"/>
      <c r="KN36" s="9"/>
      <c r="KO36" s="9"/>
      <c r="KP36" s="9"/>
      <c r="KQ36" s="9"/>
      <c r="KR36" s="9"/>
      <c r="KS36" s="9"/>
      <c r="KT36" s="9"/>
      <c r="KU36" s="9"/>
      <c r="KV36" s="9"/>
      <c r="KW36" s="9"/>
      <c r="KX36" s="9"/>
      <c r="KY36" s="9"/>
      <c r="KZ36" s="9"/>
      <c r="LA36" s="9"/>
      <c r="LB36" s="9"/>
      <c r="LC36" s="9"/>
      <c r="LD36" s="9"/>
      <c r="LE36" s="9"/>
      <c r="LF36" s="9"/>
      <c r="LG36" s="9"/>
      <c r="LH36" s="9"/>
      <c r="LI36" s="9"/>
      <c r="LJ36" s="9"/>
      <c r="LK36" s="9"/>
      <c r="LL36" s="9"/>
      <c r="LM36" s="9"/>
      <c r="LN36" s="9"/>
      <c r="LO36" s="9"/>
      <c r="LP36" s="9"/>
      <c r="LQ36" s="9"/>
      <c r="LR36" s="9"/>
      <c r="LS36" s="9"/>
      <c r="LT36" s="9"/>
      <c r="LU36" s="9"/>
      <c r="LV36" s="9"/>
      <c r="LW36" s="9"/>
      <c r="LX36" s="9"/>
      <c r="LY36" s="9"/>
      <c r="LZ36" s="9"/>
      <c r="MA36" s="9"/>
      <c r="MB36" s="9"/>
      <c r="MC36" s="9"/>
      <c r="MD36" s="9"/>
      <c r="ME36" s="9"/>
      <c r="MF36" s="9"/>
      <c r="MG36" s="9"/>
      <c r="MH36" s="9"/>
      <c r="MI36" s="9"/>
      <c r="MJ36" s="9"/>
      <c r="MK36" s="9"/>
      <c r="ML36" s="9"/>
      <c r="MM36" s="9"/>
      <c r="MN36" s="9"/>
      <c r="MO36" s="9"/>
      <c r="MP36" s="9"/>
      <c r="MQ36" s="9"/>
      <c r="MR36" s="9"/>
      <c r="MS36" s="9"/>
      <c r="MT36" s="9"/>
      <c r="MU36" s="9"/>
      <c r="MV36" s="9"/>
      <c r="MW36" s="9"/>
      <c r="MX36" s="9"/>
      <c r="MY36" s="9"/>
      <c r="MZ36" s="9"/>
      <c r="NA36" s="9"/>
      <c r="NB36" s="9"/>
      <c r="NC36" s="9"/>
      <c r="ND36" s="9"/>
      <c r="NE36" s="9"/>
      <c r="NF36" s="9"/>
      <c r="NG36" s="9"/>
      <c r="NH36" s="9"/>
      <c r="NI36" s="9"/>
      <c r="NJ36" s="9"/>
      <c r="NK36" s="9"/>
      <c r="NL36" s="9"/>
      <c r="NM36" s="9"/>
      <c r="NN36" s="9"/>
      <c r="NO36" s="9"/>
      <c r="NP36" s="9"/>
      <c r="NQ36" s="9"/>
      <c r="NR36" s="9"/>
      <c r="NS36" s="9"/>
      <c r="NT36" s="9"/>
      <c r="NU36" s="9"/>
      <c r="NV36" s="9"/>
      <c r="NW36" s="9"/>
      <c r="NX36" s="9"/>
      <c r="NY36" s="9"/>
      <c r="NZ36" s="9"/>
      <c r="OA36" s="9"/>
      <c r="OB36" s="9"/>
      <c r="OC36" s="9"/>
      <c r="OD36" s="9"/>
      <c r="OE36" s="9"/>
      <c r="OF36" s="9"/>
      <c r="OG36" s="9"/>
      <c r="OH36" s="9"/>
      <c r="OI36" s="9"/>
      <c r="OJ36" s="9"/>
      <c r="OK36" s="9"/>
      <c r="OL36" s="9"/>
      <c r="OM36" s="9"/>
      <c r="ON36" s="9"/>
      <c r="OO36" s="9"/>
      <c r="OP36" s="9"/>
      <c r="OQ36" s="9"/>
      <c r="OR36" s="9"/>
      <c r="OS36" s="9"/>
      <c r="OT36" s="9"/>
      <c r="OU36" s="9"/>
      <c r="OV36" s="9"/>
      <c r="OW36" s="9"/>
      <c r="OX36" s="9"/>
      <c r="OY36" s="9"/>
      <c r="OZ36" s="9"/>
      <c r="PA36" s="9"/>
      <c r="PB36" s="9"/>
      <c r="PC36" s="9"/>
      <c r="PD36" s="9"/>
      <c r="PE36" s="9"/>
      <c r="PF36" s="9"/>
      <c r="PG36" s="9"/>
      <c r="PH36" s="9"/>
      <c r="PI36" s="9"/>
      <c r="PJ36" s="9"/>
      <c r="PK36" s="9"/>
      <c r="PL36" s="9"/>
      <c r="PM36" s="9"/>
      <c r="PN36" s="9"/>
      <c r="PO36" s="9"/>
      <c r="PP36" s="9"/>
      <c r="PQ36" s="9"/>
      <c r="PR36" s="9"/>
      <c r="PS36" s="9"/>
      <c r="PT36" s="9"/>
      <c r="PU36" s="9"/>
      <c r="PV36" s="9"/>
      <c r="PW36" s="9"/>
      <c r="PX36" s="9"/>
      <c r="PY36" s="9"/>
      <c r="PZ36" s="9"/>
      <c r="QA36" s="9"/>
      <c r="QB36" s="9"/>
      <c r="QC36" s="9"/>
      <c r="QD36" s="9"/>
      <c r="QE36" s="9"/>
      <c r="QF36" s="9"/>
      <c r="QG36" s="9"/>
      <c r="QH36" s="9"/>
      <c r="QI36" s="9"/>
      <c r="QJ36" s="9"/>
      <c r="QK36" s="9"/>
      <c r="QL36" s="9"/>
      <c r="QM36" s="9"/>
      <c r="QN36" s="9"/>
      <c r="QO36" s="9"/>
      <c r="QP36" s="9"/>
      <c r="QQ36" s="9"/>
      <c r="QR36" s="9"/>
      <c r="QS36" s="9"/>
      <c r="QT36" s="9"/>
      <c r="QU36" s="9"/>
      <c r="QV36" s="9"/>
      <c r="QW36" s="9"/>
      <c r="QX36" s="9"/>
      <c r="QY36" s="9"/>
      <c r="QZ36" s="9"/>
      <c r="RA36" s="9"/>
      <c r="RB36" s="9"/>
      <c r="RC36" s="9"/>
      <c r="RD36" s="9"/>
      <c r="RE36" s="9"/>
      <c r="RF36" s="9"/>
      <c r="RG36" s="9"/>
      <c r="RH36" s="9"/>
      <c r="RI36" s="9"/>
      <c r="RJ36" s="9"/>
      <c r="RK36" s="9"/>
      <c r="RL36" s="9"/>
      <c r="RM36" s="9"/>
      <c r="RN36" s="9"/>
      <c r="RO36" s="9"/>
      <c r="RP36" s="9"/>
      <c r="RQ36" s="9"/>
      <c r="RR36" s="9"/>
      <c r="RS36" s="9"/>
      <c r="RT36" s="9"/>
      <c r="RU36" s="9"/>
      <c r="RV36" s="9"/>
      <c r="RW36" s="9"/>
      <c r="RX36" s="9"/>
      <c r="RY36" s="9"/>
      <c r="RZ36" s="9"/>
      <c r="SA36" s="9"/>
      <c r="SB36" s="9"/>
      <c r="SC36" s="9"/>
      <c r="SD36" s="9"/>
      <c r="SE36" s="9"/>
      <c r="SF36" s="9"/>
      <c r="SG36" s="9"/>
      <c r="SH36" s="9"/>
      <c r="SI36" s="9"/>
      <c r="SJ36" s="9"/>
      <c r="SK36" s="9"/>
      <c r="SL36" s="9"/>
      <c r="SM36" s="9"/>
      <c r="SN36" s="9"/>
      <c r="SO36" s="9"/>
      <c r="SP36" s="9"/>
      <c r="SQ36" s="9"/>
      <c r="SR36" s="9"/>
      <c r="SS36" s="9"/>
      <c r="ST36" s="9"/>
      <c r="SU36" s="9"/>
      <c r="SV36" s="9"/>
      <c r="SW36" s="9"/>
      <c r="SX36" s="9"/>
      <c r="SY36" s="9"/>
      <c r="SZ36" s="9"/>
      <c r="TA36" s="9"/>
      <c r="TB36" s="9"/>
      <c r="TC36" s="9"/>
      <c r="TD36" s="9"/>
      <c r="TE36" s="9"/>
      <c r="TF36" s="9"/>
      <c r="TG36" s="9"/>
      <c r="TH36" s="9"/>
      <c r="TI36" s="9"/>
      <c r="TJ36" s="9"/>
      <c r="TK36" s="9"/>
      <c r="TL36" s="9"/>
      <c r="TM36" s="9"/>
      <c r="TN36" s="9"/>
      <c r="TO36" s="9"/>
      <c r="TP36" s="9"/>
      <c r="TQ36" s="9"/>
      <c r="TR36" s="9"/>
      <c r="TS36" s="9"/>
      <c r="TT36" s="9"/>
      <c r="TU36" s="9"/>
      <c r="TV36" s="9"/>
      <c r="TW36" s="9"/>
      <c r="TX36" s="9"/>
      <c r="TY36" s="9"/>
      <c r="TZ36" s="9"/>
      <c r="UA36" s="9"/>
      <c r="UB36" s="9"/>
      <c r="UC36" s="9"/>
      <c r="UD36" s="9"/>
      <c r="UE36" s="9"/>
      <c r="UF36" s="9"/>
      <c r="UG36" s="9"/>
      <c r="UH36" s="9"/>
      <c r="UI36" s="9"/>
      <c r="UJ36" s="9"/>
      <c r="UK36" s="9"/>
      <c r="UL36" s="9"/>
      <c r="UM36" s="9"/>
    </row>
    <row r="37" spans="1:559" s="133" customFormat="1" ht="11.25" customHeight="1">
      <c r="A37" s="50"/>
      <c r="B37" s="10"/>
      <c r="C37" s="10"/>
      <c r="D37" s="50"/>
      <c r="E37" s="50"/>
      <c r="F37" s="50"/>
      <c r="G37" s="50"/>
      <c r="H37" s="50"/>
      <c r="I37" s="50"/>
      <c r="J37" s="50"/>
      <c r="K37" s="277" t="s">
        <v>1014</v>
      </c>
      <c r="L37" s="46"/>
      <c r="M37" s="357" t="s">
        <v>1745</v>
      </c>
      <c r="N37" s="357"/>
      <c r="O37" s="357"/>
      <c r="P37" s="8"/>
      <c r="Q37" s="275" t="str">
        <f>IF(ISERROR(VLOOKUP(P37,Tools!$D$11:$J$57,7,FALSE)),"",VLOOKUP(P37,Tools!$D$11:$J$57,7,FALSE))</f>
        <v/>
      </c>
      <c r="R37" s="275">
        <v>2</v>
      </c>
      <c r="S37" s="216">
        <v>44264</v>
      </c>
      <c r="T37" s="8">
        <v>1</v>
      </c>
      <c r="U37" s="8" t="s">
        <v>998</v>
      </c>
      <c r="V37" s="275">
        <f>IF(U37=dur_type_d,T37,IF(U37=dur_type_w,IF(Work_D_Only_Bool,T37*5,T37*7),IF(U37=dur_type_m,IF(Work_D_Only_Bool,NETWORKDAYS.INTL(S37,DATE(YEAR(S37),MONTH(S37)+T37,DAY(S37)-1),WE_Days,Holiday_Days),DATE(YEAR(S37),MONTH(S37)+T37,DAY(S37))-S37),"ERROR")))</f>
        <v>1</v>
      </c>
      <c r="W37" s="49"/>
      <c r="X37" s="179">
        <f>IF(V37&gt;0,S37+V37-1,S37+V37+1)</f>
        <v>44264</v>
      </c>
      <c r="Y37" s="47">
        <f>IF(S37&lt;&gt;"",IF($GE$7,W37,X37),"")</f>
        <v>44264</v>
      </c>
      <c r="Z37" s="179">
        <f>IF(T37&gt;0,S37,Y37)</f>
        <v>44264</v>
      </c>
      <c r="AA37" s="179">
        <f>IF(T37&gt;0,Y37,S37)</f>
        <v>44264</v>
      </c>
      <c r="AB37" s="48">
        <v>1</v>
      </c>
      <c r="AC37" s="179">
        <f>INT(Z37+AB37*(AA37-Z37))</f>
        <v>44264</v>
      </c>
      <c r="AD37" s="204">
        <f>IF(AND(AB37&lt;1,AC37&lt;$DC$7),0,1)</f>
        <v>1</v>
      </c>
      <c r="AE37" s="49"/>
      <c r="AF37" s="49"/>
      <c r="AG37" s="49"/>
      <c r="AH37" s="49"/>
      <c r="AI37" s="49"/>
      <c r="AJ37" s="224"/>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B37" s="9"/>
      <c r="JC37" s="9"/>
      <c r="JD37" s="9"/>
      <c r="JE37" s="9"/>
      <c r="JF37" s="9"/>
      <c r="JG37" s="9"/>
      <c r="JH37" s="9"/>
      <c r="JI37" s="9"/>
      <c r="JJ37" s="9"/>
      <c r="JK37" s="9"/>
      <c r="JL37" s="9"/>
      <c r="JM37" s="9"/>
      <c r="JN37" s="9"/>
      <c r="JO37" s="9"/>
      <c r="JP37" s="9"/>
      <c r="JQ37" s="9"/>
      <c r="JR37" s="9"/>
      <c r="JS37" s="9"/>
      <c r="JT37" s="9"/>
      <c r="JU37" s="9"/>
      <c r="JV37" s="9"/>
      <c r="JW37" s="9"/>
      <c r="JX37" s="9"/>
      <c r="JY37" s="9"/>
      <c r="JZ37" s="9"/>
      <c r="KA37" s="9"/>
      <c r="KB37" s="9"/>
      <c r="KC37" s="9"/>
      <c r="KD37" s="9"/>
      <c r="KE37" s="9"/>
      <c r="KF37" s="9"/>
      <c r="KG37" s="9"/>
      <c r="KH37" s="9"/>
      <c r="KI37" s="9"/>
      <c r="KJ37" s="9"/>
      <c r="KK37" s="9"/>
      <c r="KL37" s="9"/>
      <c r="KM37" s="9"/>
      <c r="KN37" s="9"/>
      <c r="KO37" s="9"/>
      <c r="KP37" s="9"/>
      <c r="KQ37" s="9"/>
      <c r="KR37" s="9"/>
      <c r="KS37" s="9"/>
      <c r="KT37" s="9"/>
      <c r="KU37" s="9"/>
      <c r="KV37" s="9"/>
      <c r="KW37" s="9"/>
      <c r="KX37" s="9"/>
      <c r="KY37" s="9"/>
      <c r="KZ37" s="9"/>
      <c r="LA37" s="9"/>
      <c r="LB37" s="9"/>
      <c r="LC37" s="9"/>
      <c r="LD37" s="9"/>
      <c r="LE37" s="9"/>
      <c r="LF37" s="9"/>
      <c r="LG37" s="9"/>
      <c r="LH37" s="9"/>
      <c r="LI37" s="9"/>
      <c r="LJ37" s="9"/>
      <c r="LK37" s="9"/>
      <c r="LL37" s="9"/>
      <c r="LM37" s="9"/>
      <c r="LN37" s="9"/>
      <c r="LO37" s="9"/>
      <c r="LP37" s="9"/>
      <c r="LQ37" s="9"/>
      <c r="LR37" s="9"/>
      <c r="LS37" s="9"/>
      <c r="LT37" s="9"/>
      <c r="LU37" s="9"/>
      <c r="LV37" s="9"/>
      <c r="LW37" s="9"/>
      <c r="LX37" s="9"/>
      <c r="LY37" s="9"/>
      <c r="LZ37" s="9"/>
      <c r="MA37" s="9"/>
      <c r="MB37" s="9"/>
      <c r="MC37" s="9"/>
      <c r="MD37" s="9"/>
      <c r="ME37" s="9"/>
      <c r="MF37" s="9"/>
      <c r="MG37" s="9"/>
      <c r="MH37" s="9"/>
      <c r="MI37" s="9"/>
      <c r="MJ37" s="9"/>
      <c r="MK37" s="9"/>
      <c r="ML37" s="9"/>
      <c r="MM37" s="9"/>
      <c r="MN37" s="9"/>
      <c r="MO37" s="9"/>
      <c r="MP37" s="9"/>
      <c r="MQ37" s="9"/>
      <c r="MR37" s="9"/>
      <c r="MS37" s="9"/>
      <c r="MT37" s="9"/>
      <c r="MU37" s="9"/>
      <c r="MV37" s="9"/>
      <c r="MW37" s="9"/>
      <c r="MX37" s="9"/>
      <c r="MY37" s="9"/>
      <c r="MZ37" s="9"/>
      <c r="NA37" s="9"/>
      <c r="NB37" s="9"/>
      <c r="NC37" s="9"/>
      <c r="ND37" s="9"/>
      <c r="NE37" s="9"/>
      <c r="NF37" s="9"/>
      <c r="NG37" s="9"/>
      <c r="NH37" s="9"/>
      <c r="NI37" s="9"/>
      <c r="NJ37" s="9"/>
      <c r="NK37" s="9"/>
      <c r="NL37" s="9"/>
      <c r="NM37" s="9"/>
      <c r="NN37" s="9"/>
      <c r="NO37" s="9"/>
      <c r="NP37" s="9"/>
      <c r="NQ37" s="9"/>
      <c r="NR37" s="9"/>
      <c r="NS37" s="9"/>
      <c r="NT37" s="9"/>
      <c r="NU37" s="9"/>
      <c r="NV37" s="9"/>
      <c r="NW37" s="9"/>
      <c r="NX37" s="9"/>
      <c r="NY37" s="9"/>
      <c r="NZ37" s="9"/>
      <c r="OA37" s="9"/>
      <c r="OB37" s="9"/>
      <c r="OC37" s="9"/>
      <c r="OD37" s="9"/>
      <c r="OE37" s="9"/>
      <c r="OF37" s="9"/>
      <c r="OG37" s="9"/>
      <c r="OH37" s="9"/>
      <c r="OI37" s="9"/>
      <c r="OJ37" s="9"/>
      <c r="OK37" s="9"/>
      <c r="OL37" s="9"/>
      <c r="OM37" s="9"/>
      <c r="ON37" s="9"/>
      <c r="OO37" s="9"/>
      <c r="OP37" s="9"/>
      <c r="OQ37" s="9"/>
      <c r="OR37" s="9"/>
      <c r="OS37" s="9"/>
      <c r="OT37" s="9"/>
      <c r="OU37" s="9"/>
      <c r="OV37" s="9"/>
      <c r="OW37" s="9"/>
      <c r="OX37" s="9"/>
      <c r="OY37" s="9"/>
      <c r="OZ37" s="9"/>
      <c r="PA37" s="9"/>
      <c r="PB37" s="9"/>
      <c r="PC37" s="9"/>
      <c r="PD37" s="9"/>
      <c r="PE37" s="9"/>
      <c r="PF37" s="9"/>
      <c r="PG37" s="9"/>
      <c r="PH37" s="9"/>
      <c r="PI37" s="9"/>
      <c r="PJ37" s="9"/>
      <c r="PK37" s="9"/>
      <c r="PL37" s="9"/>
      <c r="PM37" s="9"/>
      <c r="PN37" s="9"/>
      <c r="PO37" s="9"/>
      <c r="PP37" s="9"/>
      <c r="PQ37" s="9"/>
      <c r="PR37" s="9"/>
      <c r="PS37" s="9"/>
      <c r="PT37" s="9"/>
      <c r="PU37" s="9"/>
      <c r="PV37" s="9"/>
      <c r="PW37" s="9"/>
      <c r="PX37" s="9"/>
      <c r="PY37" s="9"/>
      <c r="PZ37" s="9"/>
      <c r="QA37" s="9"/>
      <c r="QB37" s="9"/>
      <c r="QC37" s="9"/>
      <c r="QD37" s="9"/>
      <c r="QE37" s="9"/>
      <c r="QF37" s="9"/>
      <c r="QG37" s="9"/>
      <c r="QH37" s="9"/>
      <c r="QI37" s="9"/>
      <c r="QJ37" s="9"/>
      <c r="QK37" s="9"/>
      <c r="QL37" s="9"/>
      <c r="QM37" s="9"/>
      <c r="QN37" s="9"/>
      <c r="QO37" s="9"/>
      <c r="QP37" s="9"/>
      <c r="QQ37" s="9"/>
      <c r="QR37" s="9"/>
      <c r="QS37" s="9"/>
      <c r="QT37" s="9"/>
      <c r="QU37" s="9"/>
      <c r="QV37" s="9"/>
      <c r="QW37" s="9"/>
      <c r="QX37" s="9"/>
      <c r="QY37" s="9"/>
      <c r="QZ37" s="9"/>
      <c r="RA37" s="9"/>
      <c r="RB37" s="9"/>
      <c r="RC37" s="9"/>
      <c r="RD37" s="9"/>
      <c r="RE37" s="9"/>
      <c r="RF37" s="9"/>
      <c r="RG37" s="9"/>
      <c r="RH37" s="9"/>
      <c r="RI37" s="9"/>
      <c r="RJ37" s="9"/>
      <c r="RK37" s="9"/>
      <c r="RL37" s="9"/>
      <c r="RM37" s="9"/>
      <c r="RN37" s="9"/>
      <c r="RO37" s="9"/>
      <c r="RP37" s="9"/>
      <c r="RQ37" s="9"/>
      <c r="RR37" s="9"/>
      <c r="RS37" s="9"/>
      <c r="RT37" s="9"/>
      <c r="RU37" s="9"/>
      <c r="RV37" s="9"/>
      <c r="RW37" s="9"/>
      <c r="RX37" s="9"/>
      <c r="RY37" s="9"/>
      <c r="RZ37" s="9"/>
      <c r="SA37" s="9"/>
      <c r="SB37" s="9"/>
      <c r="SC37" s="9"/>
      <c r="SD37" s="9"/>
      <c r="SE37" s="9"/>
      <c r="SF37" s="9"/>
      <c r="SG37" s="9"/>
      <c r="SH37" s="9"/>
      <c r="SI37" s="9"/>
      <c r="SJ37" s="9"/>
      <c r="SK37" s="9"/>
      <c r="SL37" s="9"/>
      <c r="SM37" s="9"/>
      <c r="SN37" s="9"/>
      <c r="SO37" s="9"/>
      <c r="SP37" s="9"/>
      <c r="SQ37" s="9"/>
      <c r="SR37" s="9"/>
      <c r="SS37" s="9"/>
      <c r="ST37" s="9"/>
      <c r="SU37" s="9"/>
      <c r="SV37" s="9"/>
      <c r="SW37" s="9"/>
      <c r="SX37" s="9"/>
      <c r="SY37" s="9"/>
      <c r="SZ37" s="9"/>
      <c r="TA37" s="9"/>
      <c r="TB37" s="9"/>
      <c r="TC37" s="9"/>
      <c r="TD37" s="9"/>
      <c r="TE37" s="9"/>
      <c r="TF37" s="9"/>
      <c r="TG37" s="9"/>
      <c r="TH37" s="9"/>
      <c r="TI37" s="9"/>
      <c r="TJ37" s="9"/>
      <c r="TK37" s="9"/>
      <c r="TL37" s="9"/>
      <c r="TM37" s="9"/>
      <c r="TN37" s="9"/>
      <c r="TO37" s="9"/>
      <c r="TP37" s="9"/>
      <c r="TQ37" s="9"/>
      <c r="TR37" s="9"/>
      <c r="TS37" s="9"/>
      <c r="TT37" s="9"/>
      <c r="TU37" s="9"/>
      <c r="TV37" s="9"/>
      <c r="TW37" s="9"/>
      <c r="TX37" s="9"/>
      <c r="TY37" s="9"/>
      <c r="TZ37" s="9"/>
      <c r="UA37" s="9"/>
      <c r="UB37" s="9"/>
      <c r="UC37" s="9"/>
      <c r="UD37" s="9"/>
      <c r="UE37" s="9"/>
      <c r="UF37" s="9"/>
      <c r="UG37" s="9"/>
      <c r="UH37" s="9"/>
      <c r="UI37" s="9"/>
      <c r="UJ37" s="9"/>
      <c r="UK37" s="9"/>
      <c r="UL37" s="9"/>
      <c r="UM37" s="9"/>
    </row>
    <row r="38" spans="1:559" s="133" customFormat="1" ht="11.25" customHeight="1">
      <c r="A38" s="50"/>
      <c r="B38" s="10"/>
      <c r="C38" s="10"/>
      <c r="D38" s="50"/>
      <c r="E38" s="50"/>
      <c r="F38" s="50"/>
      <c r="G38" s="50"/>
      <c r="H38" s="50"/>
      <c r="I38" s="50"/>
      <c r="J38" s="50"/>
      <c r="K38" s="277" t="s">
        <v>1718</v>
      </c>
      <c r="L38" s="46"/>
      <c r="M38" s="357" t="s">
        <v>1720</v>
      </c>
      <c r="N38" s="357"/>
      <c r="O38" s="357"/>
      <c r="P38" s="8"/>
      <c r="Q38" s="275" t="str">
        <f>IF(ISERROR(VLOOKUP(P38,Tools!$D$11:$J$57,7,FALSE)),"",VLOOKUP(P38,Tools!$D$11:$J$57,7,FALSE))</f>
        <v/>
      </c>
      <c r="R38" s="275">
        <v>2</v>
      </c>
      <c r="S38" s="216">
        <v>44265</v>
      </c>
      <c r="T38" s="8">
        <v>1</v>
      </c>
      <c r="U38" s="8" t="s">
        <v>998</v>
      </c>
      <c r="V38" s="275">
        <f>IF(U38=dur_type_d,T38,IF(U38=dur_type_w,IF(Work_D_Only_Bool,T38*5,T38*7),IF(U38=dur_type_m,IF(Work_D_Only_Bool,NETWORKDAYS.INTL(S38,DATE(YEAR(S38),MONTH(S38)+T38,DAY(S38)-1),WE_Days,Holiday_Days),DATE(YEAR(S38),MONTH(S38)+T38,DAY(S38))-S38),"ERROR")))</f>
        <v>1</v>
      </c>
      <c r="W38" s="49"/>
      <c r="X38" s="179">
        <f>IF(V38&gt;0,S38+V38-1,S38+V38+1)</f>
        <v>44265</v>
      </c>
      <c r="Y38" s="47">
        <f>IF(S38&lt;&gt;"",IF($GE$7,W38,X38),"")</f>
        <v>44265</v>
      </c>
      <c r="Z38" s="179">
        <f>IF(T38&gt;0,S38,Y38)</f>
        <v>44265</v>
      </c>
      <c r="AA38" s="179">
        <f>IF(T38&gt;0,Y38,S38)</f>
        <v>44265</v>
      </c>
      <c r="AB38" s="48">
        <v>1</v>
      </c>
      <c r="AC38" s="179">
        <f>INT(Z38+AB38*(AA38-Z38))</f>
        <v>44265</v>
      </c>
      <c r="AD38" s="204">
        <f>IF(AND(AB38&lt;1,AC38&lt;$DC$7),0,1)</f>
        <v>1</v>
      </c>
      <c r="AE38" s="49"/>
      <c r="AF38" s="49"/>
      <c r="AG38" s="49"/>
      <c r="AH38" s="49"/>
      <c r="AI38" s="49"/>
      <c r="AJ38" s="224"/>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B38" s="9"/>
      <c r="JC38" s="9"/>
      <c r="JD38" s="9"/>
      <c r="JE38" s="9"/>
      <c r="JF38" s="9"/>
      <c r="JG38" s="9"/>
      <c r="JH38" s="9"/>
      <c r="JI38" s="9"/>
      <c r="JJ38" s="9"/>
      <c r="JK38" s="9"/>
      <c r="JL38" s="9"/>
      <c r="JM38" s="9"/>
      <c r="JN38" s="9"/>
      <c r="JO38" s="9"/>
      <c r="JP38" s="9"/>
      <c r="JQ38" s="9"/>
      <c r="JR38" s="9"/>
      <c r="JS38" s="9"/>
      <c r="JT38" s="9"/>
      <c r="JU38" s="9"/>
      <c r="JV38" s="9"/>
      <c r="JW38" s="9"/>
      <c r="JX38" s="9"/>
      <c r="JY38" s="9"/>
      <c r="JZ38" s="9"/>
      <c r="KA38" s="9"/>
      <c r="KB38" s="9"/>
      <c r="KC38" s="9"/>
      <c r="KD38" s="9"/>
      <c r="KE38" s="9"/>
      <c r="KF38" s="9"/>
      <c r="KG38" s="9"/>
      <c r="KH38" s="9"/>
      <c r="KI38" s="9"/>
      <c r="KJ38" s="9"/>
      <c r="KK38" s="9"/>
      <c r="KL38" s="9"/>
      <c r="KM38" s="9"/>
      <c r="KN38" s="9"/>
      <c r="KO38" s="9"/>
      <c r="KP38" s="9"/>
      <c r="KQ38" s="9"/>
      <c r="KR38" s="9"/>
      <c r="KS38" s="9"/>
      <c r="KT38" s="9"/>
      <c r="KU38" s="9"/>
      <c r="KV38" s="9"/>
      <c r="KW38" s="9"/>
      <c r="KX38" s="9"/>
      <c r="KY38" s="9"/>
      <c r="KZ38" s="9"/>
      <c r="LA38" s="9"/>
      <c r="LB38" s="9"/>
      <c r="LC38" s="9"/>
      <c r="LD38" s="9"/>
      <c r="LE38" s="9"/>
      <c r="LF38" s="9"/>
      <c r="LG38" s="9"/>
      <c r="LH38" s="9"/>
      <c r="LI38" s="9"/>
      <c r="LJ38" s="9"/>
      <c r="LK38" s="9"/>
      <c r="LL38" s="9"/>
      <c r="LM38" s="9"/>
      <c r="LN38" s="9"/>
      <c r="LO38" s="9"/>
      <c r="LP38" s="9"/>
      <c r="LQ38" s="9"/>
      <c r="LR38" s="9"/>
      <c r="LS38" s="9"/>
      <c r="LT38" s="9"/>
      <c r="LU38" s="9"/>
      <c r="LV38" s="9"/>
      <c r="LW38" s="9"/>
      <c r="LX38" s="9"/>
      <c r="LY38" s="9"/>
      <c r="LZ38" s="9"/>
      <c r="MA38" s="9"/>
      <c r="MB38" s="9"/>
      <c r="MC38" s="9"/>
      <c r="MD38" s="9"/>
      <c r="ME38" s="9"/>
      <c r="MF38" s="9"/>
      <c r="MG38" s="9"/>
      <c r="MH38" s="9"/>
      <c r="MI38" s="9"/>
      <c r="MJ38" s="9"/>
      <c r="MK38" s="9"/>
      <c r="ML38" s="9"/>
      <c r="MM38" s="9"/>
      <c r="MN38" s="9"/>
      <c r="MO38" s="9"/>
      <c r="MP38" s="9"/>
      <c r="MQ38" s="9"/>
      <c r="MR38" s="9"/>
      <c r="MS38" s="9"/>
      <c r="MT38" s="9"/>
      <c r="MU38" s="9"/>
      <c r="MV38" s="9"/>
      <c r="MW38" s="9"/>
      <c r="MX38" s="9"/>
      <c r="MY38" s="9"/>
      <c r="MZ38" s="9"/>
      <c r="NA38" s="9"/>
      <c r="NB38" s="9"/>
      <c r="NC38" s="9"/>
      <c r="ND38" s="9"/>
      <c r="NE38" s="9"/>
      <c r="NF38" s="9"/>
      <c r="NG38" s="9"/>
      <c r="NH38" s="9"/>
      <c r="NI38" s="9"/>
      <c r="NJ38" s="9"/>
      <c r="NK38" s="9"/>
      <c r="NL38" s="9"/>
      <c r="NM38" s="9"/>
      <c r="NN38" s="9"/>
      <c r="NO38" s="9"/>
      <c r="NP38" s="9"/>
      <c r="NQ38" s="9"/>
      <c r="NR38" s="9"/>
      <c r="NS38" s="9"/>
      <c r="NT38" s="9"/>
      <c r="NU38" s="9"/>
      <c r="NV38" s="9"/>
      <c r="NW38" s="9"/>
      <c r="NX38" s="9"/>
      <c r="NY38" s="9"/>
      <c r="NZ38" s="9"/>
      <c r="OA38" s="9"/>
      <c r="OB38" s="9"/>
      <c r="OC38" s="9"/>
      <c r="OD38" s="9"/>
      <c r="OE38" s="9"/>
      <c r="OF38" s="9"/>
      <c r="OG38" s="9"/>
      <c r="OH38" s="9"/>
      <c r="OI38" s="9"/>
      <c r="OJ38" s="9"/>
      <c r="OK38" s="9"/>
      <c r="OL38" s="9"/>
      <c r="OM38" s="9"/>
      <c r="ON38" s="9"/>
      <c r="OO38" s="9"/>
      <c r="OP38" s="9"/>
      <c r="OQ38" s="9"/>
      <c r="OR38" s="9"/>
      <c r="OS38" s="9"/>
      <c r="OT38" s="9"/>
      <c r="OU38" s="9"/>
      <c r="OV38" s="9"/>
      <c r="OW38" s="9"/>
      <c r="OX38" s="9"/>
      <c r="OY38" s="9"/>
      <c r="OZ38" s="9"/>
      <c r="PA38" s="9"/>
      <c r="PB38" s="9"/>
      <c r="PC38" s="9"/>
      <c r="PD38" s="9"/>
      <c r="PE38" s="9"/>
      <c r="PF38" s="9"/>
      <c r="PG38" s="9"/>
      <c r="PH38" s="9"/>
      <c r="PI38" s="9"/>
      <c r="PJ38" s="9"/>
      <c r="PK38" s="9"/>
      <c r="PL38" s="9"/>
      <c r="PM38" s="9"/>
      <c r="PN38" s="9"/>
      <c r="PO38" s="9"/>
      <c r="PP38" s="9"/>
      <c r="PQ38" s="9"/>
      <c r="PR38" s="9"/>
      <c r="PS38" s="9"/>
      <c r="PT38" s="9"/>
      <c r="PU38" s="9"/>
      <c r="PV38" s="9"/>
      <c r="PW38" s="9"/>
      <c r="PX38" s="9"/>
      <c r="PY38" s="9"/>
      <c r="PZ38" s="9"/>
      <c r="QA38" s="9"/>
      <c r="QB38" s="9"/>
      <c r="QC38" s="9"/>
      <c r="QD38" s="9"/>
      <c r="QE38" s="9"/>
      <c r="QF38" s="9"/>
      <c r="QG38" s="9"/>
      <c r="QH38" s="9"/>
      <c r="QI38" s="9"/>
      <c r="QJ38" s="9"/>
      <c r="QK38" s="9"/>
      <c r="QL38" s="9"/>
      <c r="QM38" s="9"/>
      <c r="QN38" s="9"/>
      <c r="QO38" s="9"/>
      <c r="QP38" s="9"/>
      <c r="QQ38" s="9"/>
      <c r="QR38" s="9"/>
      <c r="QS38" s="9"/>
      <c r="QT38" s="9"/>
      <c r="QU38" s="9"/>
      <c r="QV38" s="9"/>
      <c r="QW38" s="9"/>
      <c r="QX38" s="9"/>
      <c r="QY38" s="9"/>
      <c r="QZ38" s="9"/>
      <c r="RA38" s="9"/>
      <c r="RB38" s="9"/>
      <c r="RC38" s="9"/>
      <c r="RD38" s="9"/>
      <c r="RE38" s="9"/>
      <c r="RF38" s="9"/>
      <c r="RG38" s="9"/>
      <c r="RH38" s="9"/>
      <c r="RI38" s="9"/>
      <c r="RJ38" s="9"/>
      <c r="RK38" s="9"/>
      <c r="RL38" s="9"/>
      <c r="RM38" s="9"/>
      <c r="RN38" s="9"/>
      <c r="RO38" s="9"/>
      <c r="RP38" s="9"/>
      <c r="RQ38" s="9"/>
      <c r="RR38" s="9"/>
      <c r="RS38" s="9"/>
      <c r="RT38" s="9"/>
      <c r="RU38" s="9"/>
      <c r="RV38" s="9"/>
      <c r="RW38" s="9"/>
      <c r="RX38" s="9"/>
      <c r="RY38" s="9"/>
      <c r="RZ38" s="9"/>
      <c r="SA38" s="9"/>
      <c r="SB38" s="9"/>
      <c r="SC38" s="9"/>
      <c r="SD38" s="9"/>
      <c r="SE38" s="9"/>
      <c r="SF38" s="9"/>
      <c r="SG38" s="9"/>
      <c r="SH38" s="9"/>
      <c r="SI38" s="9"/>
      <c r="SJ38" s="9"/>
      <c r="SK38" s="9"/>
      <c r="SL38" s="9"/>
      <c r="SM38" s="9"/>
      <c r="SN38" s="9"/>
      <c r="SO38" s="9"/>
      <c r="SP38" s="9"/>
      <c r="SQ38" s="9"/>
      <c r="SR38" s="9"/>
      <c r="SS38" s="9"/>
      <c r="ST38" s="9"/>
      <c r="SU38" s="9"/>
      <c r="SV38" s="9"/>
      <c r="SW38" s="9"/>
      <c r="SX38" s="9"/>
      <c r="SY38" s="9"/>
      <c r="SZ38" s="9"/>
      <c r="TA38" s="9"/>
      <c r="TB38" s="9"/>
      <c r="TC38" s="9"/>
      <c r="TD38" s="9"/>
      <c r="TE38" s="9"/>
      <c r="TF38" s="9"/>
      <c r="TG38" s="9"/>
      <c r="TH38" s="9"/>
      <c r="TI38" s="9"/>
      <c r="TJ38" s="9"/>
      <c r="TK38" s="9"/>
      <c r="TL38" s="9"/>
      <c r="TM38" s="9"/>
      <c r="TN38" s="9"/>
      <c r="TO38" s="9"/>
      <c r="TP38" s="9"/>
      <c r="TQ38" s="9"/>
      <c r="TR38" s="9"/>
      <c r="TS38" s="9"/>
      <c r="TT38" s="9"/>
      <c r="TU38" s="9"/>
      <c r="TV38" s="9"/>
      <c r="TW38" s="9"/>
      <c r="TX38" s="9"/>
      <c r="TY38" s="9"/>
      <c r="TZ38" s="9"/>
      <c r="UA38" s="9"/>
      <c r="UB38" s="9"/>
      <c r="UC38" s="9"/>
      <c r="UD38" s="9"/>
      <c r="UE38" s="9"/>
      <c r="UF38" s="9"/>
      <c r="UG38" s="9"/>
      <c r="UH38" s="9"/>
      <c r="UI38" s="9"/>
      <c r="UJ38" s="9"/>
      <c r="UK38" s="9"/>
      <c r="UL38" s="9"/>
      <c r="UM38" s="9"/>
    </row>
    <row r="39" spans="1:559" s="133" customFormat="1" ht="11.25" customHeight="1">
      <c r="A39" s="50"/>
      <c r="B39" s="10"/>
      <c r="C39" s="10"/>
      <c r="D39" s="50"/>
      <c r="E39" s="50"/>
      <c r="F39" s="50"/>
      <c r="G39" s="50"/>
      <c r="H39" s="50"/>
      <c r="I39" s="50"/>
      <c r="J39" s="50"/>
      <c r="K39" s="277" t="s">
        <v>1719</v>
      </c>
      <c r="L39" s="46"/>
      <c r="M39" s="357" t="s">
        <v>1721</v>
      </c>
      <c r="N39" s="357"/>
      <c r="O39" s="357"/>
      <c r="P39" s="8"/>
      <c r="Q39" s="275" t="str">
        <f>IF(ISERROR(VLOOKUP(P39,Tools!$D$11:$J$57,7,FALSE)),"",VLOOKUP(P39,Tools!$D$11:$J$57,7,FALSE))</f>
        <v/>
      </c>
      <c r="R39" s="275">
        <v>2</v>
      </c>
      <c r="S39" s="216">
        <v>44264</v>
      </c>
      <c r="T39" s="8">
        <v>4</v>
      </c>
      <c r="U39" s="8" t="s">
        <v>998</v>
      </c>
      <c r="V39" s="275">
        <f>IF(U39=dur_type_d,T39,IF(U39=dur_type_w,IF(Work_D_Only_Bool,T39*5,T39*7),IF(U39=dur_type_m,IF(Work_D_Only_Bool,NETWORKDAYS.INTL(S39,DATE(YEAR(S39),MONTH(S39)+T39,DAY(S39)-1),WE_Days,Holiday_Days),DATE(YEAR(S39),MONTH(S39)+T39,DAY(S39))-S39),"ERROR")))</f>
        <v>4</v>
      </c>
      <c r="W39" s="49"/>
      <c r="X39" s="179">
        <f>IF(V39&gt;0,S39+V39-1,S39+V39+1)</f>
        <v>44267</v>
      </c>
      <c r="Y39" s="47">
        <f>IF(S39&lt;&gt;"",IF($GE$7,W39,X39),"")</f>
        <v>44267</v>
      </c>
      <c r="Z39" s="179">
        <f>IF(T39&gt;0,S39,Y39)</f>
        <v>44264</v>
      </c>
      <c r="AA39" s="179">
        <f>IF(T39&gt;0,Y39,S39)</f>
        <v>44267</v>
      </c>
      <c r="AB39" s="48">
        <v>0.8</v>
      </c>
      <c r="AC39" s="179">
        <f>INT(Z39+AB39*(AA39-Z39))</f>
        <v>44266</v>
      </c>
      <c r="AD39" s="204">
        <f>IF(AND(AB39&lt;1,AC39&lt;$DC$7),0,1)</f>
        <v>0</v>
      </c>
      <c r="AE39" s="49"/>
      <c r="AF39" s="49"/>
      <c r="AG39" s="49"/>
      <c r="AH39" s="49"/>
      <c r="AI39" s="49"/>
      <c r="AJ39" s="224"/>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C39" s="9"/>
      <c r="JD39" s="9"/>
      <c r="JE39" s="9"/>
      <c r="JF39" s="9"/>
      <c r="JG39" s="9"/>
      <c r="JH39" s="9"/>
      <c r="JI39" s="9"/>
      <c r="JJ39" s="9"/>
      <c r="JK39" s="9"/>
      <c r="JL39" s="9"/>
      <c r="JM39" s="9"/>
      <c r="JN39" s="9"/>
      <c r="JO39" s="9"/>
      <c r="JP39" s="9"/>
      <c r="JQ39" s="9"/>
      <c r="JR39" s="9"/>
      <c r="JS39" s="9"/>
      <c r="JT39" s="9"/>
      <c r="JU39" s="9"/>
      <c r="JV39" s="9"/>
      <c r="JW39" s="9"/>
      <c r="JX39" s="9"/>
      <c r="JY39" s="9"/>
      <c r="JZ39" s="9"/>
      <c r="KA39" s="9"/>
      <c r="KB39" s="9"/>
      <c r="KC39" s="9"/>
      <c r="KD39" s="9"/>
      <c r="KE39" s="9"/>
      <c r="KF39" s="9"/>
      <c r="KG39" s="9"/>
      <c r="KH39" s="9"/>
      <c r="KI39" s="9"/>
      <c r="KJ39" s="9"/>
      <c r="KK39" s="9"/>
      <c r="KL39" s="9"/>
      <c r="KM39" s="9"/>
      <c r="KN39" s="9"/>
      <c r="KO39" s="9"/>
      <c r="KP39" s="9"/>
      <c r="KQ39" s="9"/>
      <c r="KR39" s="9"/>
      <c r="KS39" s="9"/>
      <c r="KT39" s="9"/>
      <c r="KU39" s="9"/>
      <c r="KV39" s="9"/>
      <c r="KW39" s="9"/>
      <c r="KX39" s="9"/>
      <c r="KY39" s="9"/>
      <c r="KZ39" s="9"/>
      <c r="LA39" s="9"/>
      <c r="LB39" s="9"/>
      <c r="LC39" s="9"/>
      <c r="LD39" s="9"/>
      <c r="LE39" s="9"/>
      <c r="LF39" s="9"/>
      <c r="LG39" s="9"/>
      <c r="LH39" s="9"/>
      <c r="LI39" s="9"/>
      <c r="LJ39" s="9"/>
      <c r="LK39" s="9"/>
      <c r="LL39" s="9"/>
      <c r="LM39" s="9"/>
      <c r="LN39" s="9"/>
      <c r="LO39" s="9"/>
      <c r="LP39" s="9"/>
      <c r="LQ39" s="9"/>
      <c r="LR39" s="9"/>
      <c r="LS39" s="9"/>
      <c r="LT39" s="9"/>
      <c r="LU39" s="9"/>
      <c r="LV39" s="9"/>
      <c r="LW39" s="9"/>
      <c r="LX39" s="9"/>
      <c r="LY39" s="9"/>
      <c r="LZ39" s="9"/>
      <c r="MA39" s="9"/>
      <c r="MB39" s="9"/>
      <c r="MC39" s="9"/>
      <c r="MD39" s="9"/>
      <c r="ME39" s="9"/>
      <c r="MF39" s="9"/>
      <c r="MG39" s="9"/>
      <c r="MH39" s="9"/>
      <c r="MI39" s="9"/>
      <c r="MJ39" s="9"/>
      <c r="MK39" s="9"/>
      <c r="ML39" s="9"/>
      <c r="MM39" s="9"/>
      <c r="MN39" s="9"/>
      <c r="MO39" s="9"/>
      <c r="MP39" s="9"/>
      <c r="MQ39" s="9"/>
      <c r="MR39" s="9"/>
      <c r="MS39" s="9"/>
      <c r="MT39" s="9"/>
      <c r="MU39" s="9"/>
      <c r="MV39" s="9"/>
      <c r="MW39" s="9"/>
      <c r="MX39" s="9"/>
      <c r="MY39" s="9"/>
      <c r="MZ39" s="9"/>
      <c r="NA39" s="9"/>
      <c r="NB39" s="9"/>
      <c r="NC39" s="9"/>
      <c r="ND39" s="9"/>
      <c r="NE39" s="9"/>
      <c r="NF39" s="9"/>
      <c r="NG39" s="9"/>
      <c r="NH39" s="9"/>
      <c r="NI39" s="9"/>
      <c r="NJ39" s="9"/>
      <c r="NK39" s="9"/>
      <c r="NL39" s="9"/>
      <c r="NM39" s="9"/>
      <c r="NN39" s="9"/>
      <c r="NO39" s="9"/>
      <c r="NP39" s="9"/>
      <c r="NQ39" s="9"/>
      <c r="NR39" s="9"/>
      <c r="NS39" s="9"/>
      <c r="NT39" s="9"/>
      <c r="NU39" s="9"/>
      <c r="NV39" s="9"/>
      <c r="NW39" s="9"/>
      <c r="NX39" s="9"/>
      <c r="NY39" s="9"/>
      <c r="NZ39" s="9"/>
      <c r="OA39" s="9"/>
      <c r="OB39" s="9"/>
      <c r="OC39" s="9"/>
      <c r="OD39" s="9"/>
      <c r="OE39" s="9"/>
      <c r="OF39" s="9"/>
      <c r="OG39" s="9"/>
      <c r="OH39" s="9"/>
      <c r="OI39" s="9"/>
      <c r="OJ39" s="9"/>
      <c r="OK39" s="9"/>
      <c r="OL39" s="9"/>
      <c r="OM39" s="9"/>
      <c r="ON39" s="9"/>
      <c r="OO39" s="9"/>
      <c r="OP39" s="9"/>
      <c r="OQ39" s="9"/>
      <c r="OR39" s="9"/>
      <c r="OS39" s="9"/>
      <c r="OT39" s="9"/>
      <c r="OU39" s="9"/>
      <c r="OV39" s="9"/>
      <c r="OW39" s="9"/>
      <c r="OX39" s="9"/>
      <c r="OY39" s="9"/>
      <c r="OZ39" s="9"/>
      <c r="PA39" s="9"/>
      <c r="PB39" s="9"/>
      <c r="PC39" s="9"/>
      <c r="PD39" s="9"/>
      <c r="PE39" s="9"/>
      <c r="PF39" s="9"/>
      <c r="PG39" s="9"/>
      <c r="PH39" s="9"/>
      <c r="PI39" s="9"/>
      <c r="PJ39" s="9"/>
      <c r="PK39" s="9"/>
      <c r="PL39" s="9"/>
      <c r="PM39" s="9"/>
      <c r="PN39" s="9"/>
      <c r="PO39" s="9"/>
      <c r="PP39" s="9"/>
      <c r="PQ39" s="9"/>
      <c r="PR39" s="9"/>
      <c r="PS39" s="9"/>
      <c r="PT39" s="9"/>
      <c r="PU39" s="9"/>
      <c r="PV39" s="9"/>
      <c r="PW39" s="9"/>
      <c r="PX39" s="9"/>
      <c r="PY39" s="9"/>
      <c r="PZ39" s="9"/>
      <c r="QA39" s="9"/>
      <c r="QB39" s="9"/>
      <c r="QC39" s="9"/>
      <c r="QD39" s="9"/>
      <c r="QE39" s="9"/>
      <c r="QF39" s="9"/>
      <c r="QG39" s="9"/>
      <c r="QH39" s="9"/>
      <c r="QI39" s="9"/>
      <c r="QJ39" s="9"/>
      <c r="QK39" s="9"/>
      <c r="QL39" s="9"/>
      <c r="QM39" s="9"/>
      <c r="QN39" s="9"/>
      <c r="QO39" s="9"/>
      <c r="QP39" s="9"/>
      <c r="QQ39" s="9"/>
      <c r="QR39" s="9"/>
      <c r="QS39" s="9"/>
      <c r="QT39" s="9"/>
      <c r="QU39" s="9"/>
      <c r="QV39" s="9"/>
      <c r="QW39" s="9"/>
      <c r="QX39" s="9"/>
      <c r="QY39" s="9"/>
      <c r="QZ39" s="9"/>
      <c r="RA39" s="9"/>
      <c r="RB39" s="9"/>
      <c r="RC39" s="9"/>
      <c r="RD39" s="9"/>
      <c r="RE39" s="9"/>
      <c r="RF39" s="9"/>
      <c r="RG39" s="9"/>
      <c r="RH39" s="9"/>
      <c r="RI39" s="9"/>
      <c r="RJ39" s="9"/>
      <c r="RK39" s="9"/>
      <c r="RL39" s="9"/>
      <c r="RM39" s="9"/>
      <c r="RN39" s="9"/>
      <c r="RO39" s="9"/>
      <c r="RP39" s="9"/>
      <c r="RQ39" s="9"/>
      <c r="RR39" s="9"/>
      <c r="RS39" s="9"/>
      <c r="RT39" s="9"/>
      <c r="RU39" s="9"/>
      <c r="RV39" s="9"/>
      <c r="RW39" s="9"/>
      <c r="RX39" s="9"/>
      <c r="RY39" s="9"/>
      <c r="RZ39" s="9"/>
      <c r="SA39" s="9"/>
      <c r="SB39" s="9"/>
      <c r="SC39" s="9"/>
      <c r="SD39" s="9"/>
      <c r="SE39" s="9"/>
      <c r="SF39" s="9"/>
      <c r="SG39" s="9"/>
      <c r="SH39" s="9"/>
      <c r="SI39" s="9"/>
      <c r="SJ39" s="9"/>
      <c r="SK39" s="9"/>
      <c r="SL39" s="9"/>
      <c r="SM39" s="9"/>
      <c r="SN39" s="9"/>
      <c r="SO39" s="9"/>
      <c r="SP39" s="9"/>
      <c r="SQ39" s="9"/>
      <c r="SR39" s="9"/>
      <c r="SS39" s="9"/>
      <c r="ST39" s="9"/>
      <c r="SU39" s="9"/>
      <c r="SV39" s="9"/>
      <c r="SW39" s="9"/>
      <c r="SX39" s="9"/>
      <c r="SY39" s="9"/>
      <c r="SZ39" s="9"/>
      <c r="TA39" s="9"/>
      <c r="TB39" s="9"/>
      <c r="TC39" s="9"/>
      <c r="TD39" s="9"/>
      <c r="TE39" s="9"/>
      <c r="TF39" s="9"/>
      <c r="TG39" s="9"/>
      <c r="TH39" s="9"/>
      <c r="TI39" s="9"/>
      <c r="TJ39" s="9"/>
      <c r="TK39" s="9"/>
      <c r="TL39" s="9"/>
      <c r="TM39" s="9"/>
      <c r="TN39" s="9"/>
      <c r="TO39" s="9"/>
      <c r="TP39" s="9"/>
      <c r="TQ39" s="9"/>
      <c r="TR39" s="9"/>
      <c r="TS39" s="9"/>
      <c r="TT39" s="9"/>
      <c r="TU39" s="9"/>
      <c r="TV39" s="9"/>
      <c r="TW39" s="9"/>
      <c r="TX39" s="9"/>
      <c r="TY39" s="9"/>
      <c r="TZ39" s="9"/>
      <c r="UA39" s="9"/>
      <c r="UB39" s="9"/>
      <c r="UC39" s="9"/>
      <c r="UD39" s="9"/>
      <c r="UE39" s="9"/>
      <c r="UF39" s="9"/>
      <c r="UG39" s="9"/>
      <c r="UH39" s="9"/>
      <c r="UI39" s="9"/>
      <c r="UJ39" s="9"/>
      <c r="UK39" s="9"/>
      <c r="UL39" s="9"/>
      <c r="UM39" s="9"/>
    </row>
    <row r="40" spans="1:559" s="133" customFormat="1" ht="15">
      <c r="A40" s="22"/>
      <c r="B40" s="22"/>
      <c r="C40" s="22"/>
      <c r="D40" s="22"/>
      <c r="E40" s="22"/>
      <c r="F40" s="22"/>
      <c r="G40" s="22"/>
      <c r="H40" s="22"/>
      <c r="I40" s="22"/>
      <c r="J40" s="50"/>
      <c r="K40" s="59">
        <v>4</v>
      </c>
      <c r="L40" s="202"/>
      <c r="M40" s="356" t="s">
        <v>1723</v>
      </c>
      <c r="N40" s="356"/>
      <c r="O40" s="356"/>
      <c r="P40" s="287"/>
      <c r="Q40" s="274"/>
      <c r="R40" s="274">
        <v>1</v>
      </c>
      <c r="S40" s="284">
        <f>MIN(Z41:Z51)</f>
        <v>44270</v>
      </c>
      <c r="T40" s="278">
        <f>Y40-S40+1</f>
        <v>20</v>
      </c>
      <c r="U40" s="272"/>
      <c r="V40" s="288"/>
      <c r="W40" s="203"/>
      <c r="X40" s="178"/>
      <c r="Y40" s="43">
        <f>MAX(AA41:AA51)</f>
        <v>44289</v>
      </c>
      <c r="Z40" s="178"/>
      <c r="AA40" s="178"/>
      <c r="AB40" s="45">
        <f>SUMPRODUCT(AA41:AA51,AB41:AB51)/SUM(AA41:AA51)</f>
        <v>4.5447919318676443E-2</v>
      </c>
      <c r="AC40" s="178">
        <f>S40-1+AB40*T40</f>
        <v>44269.908958386375</v>
      </c>
      <c r="AD40" s="205">
        <f>IF(AB40&lt;&gt;"",IF(AND(AB40&lt;1,AC40&lt;$DC$7),0,1))</f>
        <v>0</v>
      </c>
      <c r="AE40" s="203"/>
      <c r="AF40" s="203"/>
      <c r="AG40" s="203"/>
      <c r="AH40" s="203"/>
      <c r="AI40" s="203"/>
      <c r="AJ40" s="20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c r="GI40" s="6"/>
      <c r="GJ40" s="6"/>
      <c r="GK40" s="6"/>
      <c r="GL40" s="6"/>
      <c r="GM40" s="6"/>
      <c r="GN40" s="6"/>
      <c r="GO40" s="6"/>
      <c r="GP40" s="6"/>
      <c r="GQ40" s="6"/>
      <c r="GR40" s="6"/>
      <c r="GS40" s="6"/>
      <c r="GT40" s="6"/>
      <c r="GU40" s="6"/>
      <c r="GV40" s="6"/>
      <c r="GW40" s="6"/>
      <c r="GX40" s="6"/>
      <c r="GY40" s="6"/>
      <c r="GZ40" s="6"/>
      <c r="HA40" s="6"/>
      <c r="HB40" s="6"/>
      <c r="HC40" s="6"/>
      <c r="HD40" s="6"/>
      <c r="HE40" s="6"/>
      <c r="HF40" s="6"/>
      <c r="HG40" s="6"/>
      <c r="HH40" s="6"/>
      <c r="HI40" s="6"/>
      <c r="HJ40" s="6"/>
      <c r="HK40" s="6"/>
      <c r="HL40" s="6"/>
      <c r="HM40" s="6"/>
      <c r="HN40" s="6"/>
      <c r="HO40" s="6"/>
      <c r="HP40" s="6"/>
      <c r="HQ40" s="6"/>
      <c r="HR40" s="6"/>
      <c r="HS40" s="6"/>
      <c r="HT40" s="6"/>
      <c r="HU40" s="6"/>
      <c r="HV40" s="6"/>
      <c r="HW40" s="6"/>
      <c r="HX40" s="6"/>
      <c r="HY40" s="6"/>
      <c r="HZ40" s="6"/>
      <c r="IA40" s="6"/>
      <c r="IB40" s="6"/>
      <c r="IC40" s="6"/>
      <c r="ID40" s="6"/>
      <c r="IE40" s="6"/>
      <c r="IF40" s="6"/>
      <c r="IG40" s="6"/>
      <c r="IH40" s="6"/>
      <c r="II40" s="6"/>
      <c r="IJ40" s="6"/>
      <c r="IK40" s="6"/>
      <c r="IL40" s="6"/>
      <c r="IM40" s="6"/>
      <c r="IN40" s="6"/>
      <c r="IO40" s="6"/>
      <c r="IP40" s="6"/>
      <c r="IQ40" s="6"/>
      <c r="IR40" s="6"/>
      <c r="IS40" s="6"/>
      <c r="IT40" s="6"/>
      <c r="IU40" s="6"/>
      <c r="IV40" s="6"/>
      <c r="IW40" s="6"/>
      <c r="IX40" s="6"/>
      <c r="IY40" s="6"/>
      <c r="IZ40" s="6"/>
      <c r="JA40" s="6"/>
      <c r="JB40" s="6"/>
      <c r="JC40" s="6"/>
      <c r="JD40" s="6"/>
      <c r="JE40" s="6"/>
      <c r="JF40" s="6"/>
      <c r="JG40" s="6"/>
      <c r="JH40" s="6"/>
      <c r="JI40" s="6"/>
      <c r="JJ40" s="6"/>
      <c r="JK40" s="6"/>
      <c r="JL40" s="6"/>
      <c r="JM40" s="6"/>
      <c r="JN40" s="6"/>
      <c r="JO40" s="6"/>
      <c r="JP40" s="6"/>
      <c r="JQ40" s="6"/>
      <c r="JR40" s="6"/>
      <c r="JS40" s="6"/>
      <c r="JT40" s="6"/>
      <c r="JU40" s="6"/>
      <c r="JV40" s="6"/>
      <c r="JW40" s="6"/>
      <c r="JX40" s="6"/>
      <c r="JY40" s="6"/>
      <c r="JZ40" s="6"/>
      <c r="KA40" s="6"/>
      <c r="KB40" s="6"/>
      <c r="KC40" s="6"/>
      <c r="KD40" s="6"/>
      <c r="KE40" s="6"/>
      <c r="KF40" s="6"/>
      <c r="KG40" s="6"/>
      <c r="KH40" s="6"/>
      <c r="KI40" s="6"/>
      <c r="KJ40" s="6"/>
      <c r="KK40" s="6"/>
      <c r="KL40" s="6"/>
      <c r="KM40" s="6"/>
      <c r="KN40" s="6"/>
      <c r="KO40" s="6"/>
      <c r="KP40" s="6"/>
      <c r="KQ40" s="6"/>
      <c r="KR40" s="6"/>
      <c r="KS40" s="6"/>
      <c r="KT40" s="6"/>
      <c r="KU40" s="6"/>
      <c r="KV40" s="6"/>
      <c r="KW40" s="6"/>
      <c r="KX40" s="6"/>
      <c r="KY40" s="6"/>
      <c r="KZ40" s="6"/>
      <c r="LA40" s="6"/>
      <c r="LB40" s="6"/>
      <c r="LC40" s="6"/>
      <c r="LD40" s="6"/>
      <c r="LE40" s="6"/>
      <c r="LF40" s="6"/>
      <c r="LG40" s="6"/>
      <c r="LH40" s="6"/>
      <c r="LI40" s="6"/>
      <c r="LJ40" s="6"/>
      <c r="LK40" s="6"/>
      <c r="LL40" s="6"/>
      <c r="LM40" s="6"/>
      <c r="LN40" s="6"/>
      <c r="LO40" s="6"/>
      <c r="LP40" s="6"/>
      <c r="LQ40" s="6"/>
      <c r="LR40" s="6"/>
      <c r="LS40" s="6"/>
      <c r="LT40" s="6"/>
      <c r="LU40" s="6"/>
      <c r="LV40" s="6"/>
      <c r="LW40" s="6"/>
      <c r="LX40" s="6"/>
      <c r="LY40" s="6"/>
      <c r="LZ40" s="6"/>
      <c r="MA40" s="6"/>
      <c r="MB40" s="6"/>
      <c r="MC40" s="6"/>
      <c r="MD40" s="6"/>
      <c r="ME40" s="6"/>
      <c r="MF40" s="6"/>
      <c r="MG40" s="6"/>
      <c r="MH40" s="6"/>
      <c r="MI40" s="6"/>
      <c r="MJ40" s="6"/>
      <c r="MK40" s="6"/>
      <c r="ML40" s="6"/>
      <c r="MM40" s="6"/>
      <c r="MN40" s="6"/>
      <c r="MO40" s="6"/>
      <c r="MP40" s="6"/>
      <c r="MQ40" s="6"/>
      <c r="MR40" s="6"/>
      <c r="MS40" s="6"/>
      <c r="MT40" s="6"/>
      <c r="MU40" s="6"/>
      <c r="MV40" s="6"/>
      <c r="MW40" s="6"/>
      <c r="MX40" s="6"/>
      <c r="MY40" s="6"/>
      <c r="MZ40" s="6"/>
      <c r="NA40" s="6"/>
      <c r="NB40" s="6"/>
      <c r="NC40" s="6"/>
      <c r="ND40" s="6"/>
      <c r="NE40" s="6"/>
      <c r="NF40" s="6"/>
      <c r="NG40" s="6"/>
      <c r="NH40" s="6"/>
      <c r="NI40" s="6"/>
      <c r="NJ40" s="6"/>
      <c r="NK40" s="6"/>
      <c r="NL40" s="6"/>
      <c r="NM40" s="6"/>
      <c r="NN40" s="6"/>
      <c r="NO40" s="6"/>
      <c r="NP40" s="6"/>
      <c r="NQ40" s="6"/>
      <c r="NR40" s="6"/>
      <c r="NS40" s="6"/>
      <c r="NT40" s="6"/>
      <c r="NU40" s="6"/>
      <c r="NV40" s="6"/>
      <c r="NW40" s="6"/>
      <c r="NX40" s="6"/>
      <c r="NY40" s="6"/>
      <c r="NZ40" s="6"/>
      <c r="OA40" s="6"/>
      <c r="OB40" s="6"/>
      <c r="OC40" s="6"/>
      <c r="OD40" s="6"/>
      <c r="OE40" s="6"/>
      <c r="OF40" s="6"/>
      <c r="OG40" s="6"/>
      <c r="OH40" s="6"/>
      <c r="OI40" s="6"/>
      <c r="OJ40" s="6"/>
      <c r="OK40" s="6"/>
      <c r="OL40" s="6"/>
      <c r="OM40" s="6"/>
      <c r="ON40" s="6"/>
      <c r="OO40" s="6"/>
      <c r="OP40" s="6"/>
      <c r="OQ40" s="6"/>
      <c r="OR40" s="6"/>
      <c r="OS40" s="6"/>
      <c r="OT40" s="6"/>
      <c r="OU40" s="6"/>
      <c r="OV40" s="6"/>
      <c r="OW40" s="6"/>
      <c r="OX40" s="6"/>
      <c r="OY40" s="6"/>
      <c r="OZ40" s="6"/>
      <c r="PA40" s="6"/>
      <c r="PB40" s="6"/>
      <c r="PC40" s="6"/>
      <c r="PD40" s="6"/>
      <c r="PE40" s="6"/>
      <c r="PF40" s="6"/>
      <c r="PG40" s="6"/>
      <c r="PH40" s="6"/>
      <c r="PI40" s="6"/>
      <c r="PJ40" s="6"/>
      <c r="PK40" s="6"/>
      <c r="PL40" s="6"/>
      <c r="PM40" s="6"/>
      <c r="PN40" s="6"/>
      <c r="PO40" s="6"/>
      <c r="PP40" s="6"/>
      <c r="PQ40" s="6"/>
      <c r="PR40" s="6"/>
      <c r="PS40" s="6"/>
      <c r="PT40" s="6"/>
      <c r="PU40" s="6"/>
      <c r="PV40" s="6"/>
      <c r="PW40" s="6"/>
      <c r="PX40" s="6"/>
      <c r="PY40" s="6"/>
      <c r="PZ40" s="6"/>
      <c r="QA40" s="6"/>
      <c r="QB40" s="6"/>
      <c r="QC40" s="6"/>
      <c r="QD40" s="6"/>
      <c r="QE40" s="6"/>
      <c r="QF40" s="6"/>
      <c r="QG40" s="6"/>
      <c r="QH40" s="6"/>
      <c r="QI40" s="6"/>
      <c r="QJ40" s="6"/>
      <c r="QK40" s="6"/>
      <c r="QL40" s="6"/>
      <c r="QM40" s="6"/>
      <c r="QN40" s="6"/>
      <c r="QO40" s="6"/>
      <c r="QP40" s="6"/>
      <c r="QQ40" s="6"/>
      <c r="QR40" s="6"/>
      <c r="QS40" s="6"/>
      <c r="QT40" s="6"/>
      <c r="QU40" s="6"/>
      <c r="QV40" s="6"/>
      <c r="QW40" s="6"/>
      <c r="QX40" s="6"/>
      <c r="QY40" s="6"/>
      <c r="QZ40" s="6"/>
      <c r="RA40" s="6"/>
      <c r="RB40" s="6"/>
      <c r="RC40" s="6"/>
      <c r="RD40" s="6"/>
      <c r="RE40" s="6"/>
      <c r="RF40" s="6"/>
      <c r="RG40" s="6"/>
      <c r="RH40" s="6"/>
      <c r="RI40" s="6"/>
      <c r="RJ40" s="6"/>
      <c r="RK40" s="6"/>
      <c r="RL40" s="6"/>
      <c r="RM40" s="6"/>
      <c r="RN40" s="6"/>
      <c r="RO40" s="6"/>
      <c r="RP40" s="6"/>
      <c r="RQ40" s="6"/>
      <c r="RR40" s="6"/>
      <c r="RS40" s="6"/>
      <c r="RT40" s="6"/>
      <c r="RU40" s="6"/>
      <c r="RV40" s="6"/>
      <c r="RW40" s="6"/>
      <c r="RX40" s="6"/>
      <c r="RY40" s="6"/>
      <c r="RZ40" s="6"/>
      <c r="SA40" s="6"/>
      <c r="SB40" s="6"/>
      <c r="SC40" s="6"/>
      <c r="SD40" s="6"/>
      <c r="SE40" s="6"/>
      <c r="SF40" s="6"/>
      <c r="SG40" s="6"/>
      <c r="SH40" s="6"/>
      <c r="SI40" s="6"/>
      <c r="SJ40" s="6"/>
      <c r="SK40" s="6"/>
      <c r="SL40" s="6"/>
      <c r="SM40" s="6"/>
      <c r="SN40" s="6"/>
      <c r="SO40" s="6"/>
      <c r="SP40" s="6"/>
      <c r="SQ40" s="6"/>
      <c r="SR40" s="6"/>
      <c r="SS40" s="6"/>
      <c r="ST40" s="6"/>
      <c r="SU40" s="6"/>
      <c r="SV40" s="6"/>
      <c r="SW40" s="6"/>
      <c r="SX40" s="6"/>
      <c r="SY40" s="6"/>
      <c r="SZ40" s="6"/>
      <c r="TA40" s="6"/>
      <c r="TB40" s="6"/>
      <c r="TC40" s="6"/>
      <c r="TD40" s="6"/>
      <c r="TE40" s="6"/>
      <c r="TF40" s="6"/>
      <c r="TG40" s="6"/>
      <c r="TH40" s="6"/>
      <c r="TI40" s="6"/>
      <c r="TJ40" s="6"/>
      <c r="TK40" s="6"/>
      <c r="TL40" s="6"/>
      <c r="TM40" s="6"/>
      <c r="TN40" s="6"/>
      <c r="TO40" s="6"/>
      <c r="TP40" s="6"/>
      <c r="TQ40" s="6"/>
      <c r="TR40" s="6"/>
      <c r="TS40" s="6"/>
      <c r="TT40" s="6"/>
      <c r="TU40" s="6"/>
      <c r="TV40" s="6"/>
      <c r="TW40" s="6"/>
      <c r="TX40" s="6"/>
      <c r="TY40" s="6"/>
      <c r="TZ40" s="6"/>
      <c r="UA40" s="6"/>
      <c r="UB40" s="6"/>
      <c r="UC40" s="6"/>
      <c r="UD40" s="6"/>
      <c r="UE40" s="6"/>
      <c r="UF40" s="6"/>
      <c r="UG40" s="6"/>
      <c r="UH40" s="6"/>
      <c r="UI40" s="6"/>
      <c r="UJ40" s="6"/>
      <c r="UK40" s="6"/>
      <c r="UL40" s="6"/>
      <c r="UM40" s="6"/>
    </row>
    <row r="41" spans="1:559" s="133" customFormat="1" ht="11.25" customHeight="1">
      <c r="A41" s="50"/>
      <c r="B41" s="10"/>
      <c r="C41" s="10"/>
      <c r="D41" s="50"/>
      <c r="E41" s="50"/>
      <c r="F41" s="50"/>
      <c r="G41" s="50"/>
      <c r="H41" s="50"/>
      <c r="I41" s="50"/>
      <c r="J41" s="50"/>
      <c r="K41" s="277" t="s">
        <v>1030</v>
      </c>
      <c r="L41" s="46"/>
      <c r="M41" s="357" t="s">
        <v>1732</v>
      </c>
      <c r="N41" s="357"/>
      <c r="O41" s="357"/>
      <c r="P41" s="8"/>
      <c r="Q41" s="275" t="str">
        <f>IF(ISERROR(VLOOKUP(P41,Tools!$D$11:$J$57,7,FALSE)),"",VLOOKUP(P41,Tools!$D$11:$J$57,7,FALSE))</f>
        <v/>
      </c>
      <c r="R41" s="275">
        <v>2</v>
      </c>
      <c r="S41" s="216">
        <v>44270</v>
      </c>
      <c r="T41" s="8">
        <v>1</v>
      </c>
      <c r="U41" s="8" t="s">
        <v>998</v>
      </c>
      <c r="V41" s="275">
        <f>IF(U41=dur_type_d,T41,IF(U41=dur_type_w,IF(Work_D_Only_Bool,T41*5,T41*7),IF(U41=dur_type_m,IF(Work_D_Only_Bool,NETWORKDAYS.INTL(S41,DATE(YEAR(S41),MONTH(S41)+T41,DAY(S41)-1),WE_Days,Holiday_Days),DATE(YEAR(S41),MONTH(S41)+T41,DAY(S41))-S41),"ERROR")))</f>
        <v>1</v>
      </c>
      <c r="W41" s="49"/>
      <c r="X41" s="179">
        <f>IF(V41&gt;0,S41+V41-1,S41+V41+1)</f>
        <v>44270</v>
      </c>
      <c r="Y41" s="47">
        <f>IF(S41&lt;&gt;"",IF($GE$7,W41,X41),"")</f>
        <v>44270</v>
      </c>
      <c r="Z41" s="179">
        <f>IF(T41&gt;0,S41,Y41)</f>
        <v>44270</v>
      </c>
      <c r="AA41" s="179">
        <f>IF(T41&gt;0,Y41,S41)</f>
        <v>44270</v>
      </c>
      <c r="AB41" s="48">
        <v>0</v>
      </c>
      <c r="AC41" s="179">
        <f t="shared" ref="AC41:AC42" si="130">INT(Z41+AB41*(AA41-Z41))</f>
        <v>44270</v>
      </c>
      <c r="AD41" s="204">
        <f>IF(AND(AB41&lt;1,AC41&lt;$DC$7),0,1)</f>
        <v>0</v>
      </c>
      <c r="AE41" s="49"/>
      <c r="AF41" s="49"/>
      <c r="AG41" s="49"/>
      <c r="AH41" s="49"/>
      <c r="AI41" s="49"/>
      <c r="AJ41" s="224"/>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B41" s="9"/>
      <c r="JC41" s="9"/>
      <c r="JD41" s="9"/>
      <c r="JE41" s="9"/>
      <c r="JF41" s="9"/>
      <c r="JG41" s="9"/>
      <c r="JH41" s="9"/>
      <c r="JI41" s="9"/>
      <c r="JJ41" s="9"/>
      <c r="JK41" s="9"/>
      <c r="JL41" s="9"/>
      <c r="JM41" s="9"/>
      <c r="JN41" s="9"/>
      <c r="JO41" s="9"/>
      <c r="JP41" s="9"/>
      <c r="JQ41" s="9"/>
      <c r="JR41" s="9"/>
      <c r="JS41" s="9"/>
      <c r="JT41" s="9"/>
      <c r="JU41" s="9"/>
      <c r="JV41" s="9"/>
      <c r="JW41" s="9"/>
      <c r="JX41" s="9"/>
      <c r="JY41" s="9"/>
      <c r="JZ41" s="9"/>
      <c r="KA41" s="9"/>
      <c r="KB41" s="9"/>
      <c r="KC41" s="9"/>
      <c r="KD41" s="9"/>
      <c r="KE41" s="9"/>
      <c r="KF41" s="9"/>
      <c r="KG41" s="9"/>
      <c r="KH41" s="9"/>
      <c r="KI41" s="9"/>
      <c r="KJ41" s="9"/>
      <c r="KK41" s="9"/>
      <c r="KL41" s="9"/>
      <c r="KM41" s="9"/>
      <c r="KN41" s="9"/>
      <c r="KO41" s="9"/>
      <c r="KP41" s="9"/>
      <c r="KQ41" s="9"/>
      <c r="KR41" s="9"/>
      <c r="KS41" s="9"/>
      <c r="KT41" s="9"/>
      <c r="KU41" s="9"/>
      <c r="KV41" s="9"/>
      <c r="KW41" s="9"/>
      <c r="KX41" s="9"/>
      <c r="KY41" s="9"/>
      <c r="KZ41" s="9"/>
      <c r="LA41" s="9"/>
      <c r="LB41" s="9"/>
      <c r="LC41" s="9"/>
      <c r="LD41" s="9"/>
      <c r="LE41" s="9"/>
      <c r="LF41" s="9"/>
      <c r="LG41" s="9"/>
      <c r="LH41" s="9"/>
      <c r="LI41" s="9"/>
      <c r="LJ41" s="9"/>
      <c r="LK41" s="9"/>
      <c r="LL41" s="9"/>
      <c r="LM41" s="9"/>
      <c r="LN41" s="9"/>
      <c r="LO41" s="9"/>
      <c r="LP41" s="9"/>
      <c r="LQ41" s="9"/>
      <c r="LR41" s="9"/>
      <c r="LS41" s="9"/>
      <c r="LT41" s="9"/>
      <c r="LU41" s="9"/>
      <c r="LV41" s="9"/>
      <c r="LW41" s="9"/>
      <c r="LX41" s="9"/>
      <c r="LY41" s="9"/>
      <c r="LZ41" s="9"/>
      <c r="MA41" s="9"/>
      <c r="MB41" s="9"/>
      <c r="MC41" s="9"/>
      <c r="MD41" s="9"/>
      <c r="ME41" s="9"/>
      <c r="MF41" s="9"/>
      <c r="MG41" s="9"/>
      <c r="MH41" s="9"/>
      <c r="MI41" s="9"/>
      <c r="MJ41" s="9"/>
      <c r="MK41" s="9"/>
      <c r="ML41" s="9"/>
      <c r="MM41" s="9"/>
      <c r="MN41" s="9"/>
      <c r="MO41" s="9"/>
      <c r="MP41" s="9"/>
      <c r="MQ41" s="9"/>
      <c r="MR41" s="9"/>
      <c r="MS41" s="9"/>
      <c r="MT41" s="9"/>
      <c r="MU41" s="9"/>
      <c r="MV41" s="9"/>
      <c r="MW41" s="9"/>
      <c r="MX41" s="9"/>
      <c r="MY41" s="9"/>
      <c r="MZ41" s="9"/>
      <c r="NA41" s="9"/>
      <c r="NB41" s="9"/>
      <c r="NC41" s="9"/>
      <c r="ND41" s="9"/>
      <c r="NE41" s="9"/>
      <c r="NF41" s="9"/>
      <c r="NG41" s="9"/>
      <c r="NH41" s="9"/>
      <c r="NI41" s="9"/>
      <c r="NJ41" s="9"/>
      <c r="NK41" s="9"/>
      <c r="NL41" s="9"/>
      <c r="NM41" s="9"/>
      <c r="NN41" s="9"/>
      <c r="NO41" s="9"/>
      <c r="NP41" s="9"/>
      <c r="NQ41" s="9"/>
      <c r="NR41" s="9"/>
      <c r="NS41" s="9"/>
      <c r="NT41" s="9"/>
      <c r="NU41" s="9"/>
      <c r="NV41" s="9"/>
      <c r="NW41" s="9"/>
      <c r="NX41" s="9"/>
      <c r="NY41" s="9"/>
      <c r="NZ41" s="9"/>
      <c r="OA41" s="9"/>
      <c r="OB41" s="9"/>
      <c r="OC41" s="9"/>
      <c r="OD41" s="9"/>
      <c r="OE41" s="9"/>
      <c r="OF41" s="9"/>
      <c r="OG41" s="9"/>
      <c r="OH41" s="9"/>
      <c r="OI41" s="9"/>
      <c r="OJ41" s="9"/>
      <c r="OK41" s="9"/>
      <c r="OL41" s="9"/>
      <c r="OM41" s="9"/>
      <c r="ON41" s="9"/>
      <c r="OO41" s="9"/>
      <c r="OP41" s="9"/>
      <c r="OQ41" s="9"/>
      <c r="OR41" s="9"/>
      <c r="OS41" s="9"/>
      <c r="OT41" s="9"/>
      <c r="OU41" s="9"/>
      <c r="OV41" s="9"/>
      <c r="OW41" s="9"/>
      <c r="OX41" s="9"/>
      <c r="OY41" s="9"/>
      <c r="OZ41" s="9"/>
      <c r="PA41" s="9"/>
      <c r="PB41" s="9"/>
      <c r="PC41" s="9"/>
      <c r="PD41" s="9"/>
      <c r="PE41" s="9"/>
      <c r="PF41" s="9"/>
      <c r="PG41" s="9"/>
      <c r="PH41" s="9"/>
      <c r="PI41" s="9"/>
      <c r="PJ41" s="9"/>
      <c r="PK41" s="9"/>
      <c r="PL41" s="9"/>
      <c r="PM41" s="9"/>
      <c r="PN41" s="9"/>
      <c r="PO41" s="9"/>
      <c r="PP41" s="9"/>
      <c r="PQ41" s="9"/>
      <c r="PR41" s="9"/>
      <c r="PS41" s="9"/>
      <c r="PT41" s="9"/>
      <c r="PU41" s="9"/>
      <c r="PV41" s="9"/>
      <c r="PW41" s="9"/>
      <c r="PX41" s="9"/>
      <c r="PY41" s="9"/>
      <c r="PZ41" s="9"/>
      <c r="QA41" s="9"/>
      <c r="QB41" s="9"/>
      <c r="QC41" s="9"/>
      <c r="QD41" s="9"/>
      <c r="QE41" s="9"/>
      <c r="QF41" s="9"/>
      <c r="QG41" s="9"/>
      <c r="QH41" s="9"/>
      <c r="QI41" s="9"/>
      <c r="QJ41" s="9"/>
      <c r="QK41" s="9"/>
      <c r="QL41" s="9"/>
      <c r="QM41" s="9"/>
      <c r="QN41" s="9"/>
      <c r="QO41" s="9"/>
      <c r="QP41" s="9"/>
      <c r="QQ41" s="9"/>
      <c r="QR41" s="9"/>
      <c r="QS41" s="9"/>
      <c r="QT41" s="9"/>
      <c r="QU41" s="9"/>
      <c r="QV41" s="9"/>
      <c r="QW41" s="9"/>
      <c r="QX41" s="9"/>
      <c r="QY41" s="9"/>
      <c r="QZ41" s="9"/>
      <c r="RA41" s="9"/>
      <c r="RB41" s="9"/>
      <c r="RC41" s="9"/>
      <c r="RD41" s="9"/>
      <c r="RE41" s="9"/>
      <c r="RF41" s="9"/>
      <c r="RG41" s="9"/>
      <c r="RH41" s="9"/>
      <c r="RI41" s="9"/>
      <c r="RJ41" s="9"/>
      <c r="RK41" s="9"/>
      <c r="RL41" s="9"/>
      <c r="RM41" s="9"/>
      <c r="RN41" s="9"/>
      <c r="RO41" s="9"/>
      <c r="RP41" s="9"/>
      <c r="RQ41" s="9"/>
      <c r="RR41" s="9"/>
      <c r="RS41" s="9"/>
      <c r="RT41" s="9"/>
      <c r="RU41" s="9"/>
      <c r="RV41" s="9"/>
      <c r="RW41" s="9"/>
      <c r="RX41" s="9"/>
      <c r="RY41" s="9"/>
      <c r="RZ41" s="9"/>
      <c r="SA41" s="9"/>
      <c r="SB41" s="9"/>
      <c r="SC41" s="9"/>
      <c r="SD41" s="9"/>
      <c r="SE41" s="9"/>
      <c r="SF41" s="9"/>
      <c r="SG41" s="9"/>
      <c r="SH41" s="9"/>
      <c r="SI41" s="9"/>
      <c r="SJ41" s="9"/>
      <c r="SK41" s="9"/>
      <c r="SL41" s="9"/>
      <c r="SM41" s="9"/>
      <c r="SN41" s="9"/>
      <c r="SO41" s="9"/>
      <c r="SP41" s="9"/>
      <c r="SQ41" s="9"/>
      <c r="SR41" s="9"/>
      <c r="SS41" s="9"/>
      <c r="ST41" s="9"/>
      <c r="SU41" s="9"/>
      <c r="SV41" s="9"/>
      <c r="SW41" s="9"/>
      <c r="SX41" s="9"/>
      <c r="SY41" s="9"/>
      <c r="SZ41" s="9"/>
      <c r="TA41" s="9"/>
      <c r="TB41" s="9"/>
      <c r="TC41" s="9"/>
      <c r="TD41" s="9"/>
      <c r="TE41" s="9"/>
      <c r="TF41" s="9"/>
      <c r="TG41" s="9"/>
      <c r="TH41" s="9"/>
      <c r="TI41" s="9"/>
      <c r="TJ41" s="9"/>
      <c r="TK41" s="9"/>
      <c r="TL41" s="9"/>
      <c r="TM41" s="9"/>
      <c r="TN41" s="9"/>
      <c r="TO41" s="9"/>
      <c r="TP41" s="9"/>
      <c r="TQ41" s="9"/>
      <c r="TR41" s="9"/>
      <c r="TS41" s="9"/>
      <c r="TT41" s="9"/>
      <c r="TU41" s="9"/>
      <c r="TV41" s="9"/>
      <c r="TW41" s="9"/>
      <c r="TX41" s="9"/>
      <c r="TY41" s="9"/>
      <c r="TZ41" s="9"/>
      <c r="UA41" s="9"/>
      <c r="UB41" s="9"/>
      <c r="UC41" s="9"/>
      <c r="UD41" s="9"/>
      <c r="UE41" s="9"/>
      <c r="UF41" s="9"/>
      <c r="UG41" s="9"/>
      <c r="UH41" s="9"/>
      <c r="UI41" s="9"/>
      <c r="UJ41" s="9"/>
      <c r="UK41" s="9"/>
      <c r="UL41" s="9"/>
      <c r="UM41" s="9"/>
    </row>
    <row r="42" spans="1:559" s="133" customFormat="1" ht="11.25" customHeight="1">
      <c r="A42" s="50"/>
      <c r="B42" s="10"/>
      <c r="C42" s="10"/>
      <c r="D42" s="50"/>
      <c r="E42" s="50"/>
      <c r="F42" s="50"/>
      <c r="G42" s="50"/>
      <c r="H42" s="50"/>
      <c r="I42" s="50"/>
      <c r="J42" s="50"/>
      <c r="K42" s="277" t="s">
        <v>1031</v>
      </c>
      <c r="L42" s="46"/>
      <c r="M42" s="357" t="s">
        <v>1733</v>
      </c>
      <c r="N42" s="357"/>
      <c r="O42" s="357"/>
      <c r="P42" s="8"/>
      <c r="Q42" s="275" t="str">
        <f>IF(ISERROR(VLOOKUP(P42,Tools!$D$11:$J$57,7,FALSE)),"",VLOOKUP(P42,Tools!$D$11:$J$57,7,FALSE))</f>
        <v/>
      </c>
      <c r="R42" s="275">
        <v>2</v>
      </c>
      <c r="S42" s="216">
        <v>44271</v>
      </c>
      <c r="T42" s="8">
        <v>1</v>
      </c>
      <c r="U42" s="8" t="s">
        <v>998</v>
      </c>
      <c r="V42" s="275">
        <f>IF(U42=dur_type_d,T42,IF(U42=dur_type_w,IF(Work_D_Only_Bool,T42*5,T42*7),IF(U42=dur_type_m,IF(Work_D_Only_Bool,NETWORKDAYS.INTL(S42,DATE(YEAR(S42),MONTH(S42)+T42,DAY(S42)-1),WE_Days,Holiday_Days),DATE(YEAR(S42),MONTH(S42)+T42,DAY(S42))-S42),"ERROR")))</f>
        <v>1</v>
      </c>
      <c r="W42" s="49"/>
      <c r="X42" s="179">
        <f>IF(V42&gt;0,S42+V42-1,S42+V42+1)</f>
        <v>44271</v>
      </c>
      <c r="Y42" s="47">
        <f>IF(S42&lt;&gt;"",IF($GE$7,W42,X42),"")</f>
        <v>44271</v>
      </c>
      <c r="Z42" s="179">
        <f>IF(T42&gt;0,S42,Y42)</f>
        <v>44271</v>
      </c>
      <c r="AA42" s="179">
        <f>IF(T42&gt;0,Y42,S42)</f>
        <v>44271</v>
      </c>
      <c r="AB42" s="48">
        <v>0.5</v>
      </c>
      <c r="AC42" s="179">
        <f t="shared" si="130"/>
        <v>44271</v>
      </c>
      <c r="AD42" s="204">
        <f>IF(AND(AB42&lt;1,AC42&lt;$DC$7),0,1)</f>
        <v>0</v>
      </c>
      <c r="AE42" s="49"/>
      <c r="AF42" s="49"/>
      <c r="AG42" s="49"/>
      <c r="AH42" s="49"/>
      <c r="AI42" s="49"/>
      <c r="AJ42" s="224"/>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B42" s="9"/>
      <c r="JC42" s="9"/>
      <c r="JD42" s="9"/>
      <c r="JE42" s="9"/>
      <c r="JF42" s="9"/>
      <c r="JG42" s="9"/>
      <c r="JH42" s="9"/>
      <c r="JI42" s="9"/>
      <c r="JJ42" s="9"/>
      <c r="JK42" s="9"/>
      <c r="JL42" s="9"/>
      <c r="JM42" s="9"/>
      <c r="JN42" s="9"/>
      <c r="JO42" s="9"/>
      <c r="JP42" s="9"/>
      <c r="JQ42" s="9"/>
      <c r="JR42" s="9"/>
      <c r="JS42" s="9"/>
      <c r="JT42" s="9"/>
      <c r="JU42" s="9"/>
      <c r="JV42" s="9"/>
      <c r="JW42" s="9"/>
      <c r="JX42" s="9"/>
      <c r="JY42" s="9"/>
      <c r="JZ42" s="9"/>
      <c r="KA42" s="9"/>
      <c r="KB42" s="9"/>
      <c r="KC42" s="9"/>
      <c r="KD42" s="9"/>
      <c r="KE42" s="9"/>
      <c r="KF42" s="9"/>
      <c r="KG42" s="9"/>
      <c r="KH42" s="9"/>
      <c r="KI42" s="9"/>
      <c r="KJ42" s="9"/>
      <c r="KK42" s="9"/>
      <c r="KL42" s="9"/>
      <c r="KM42" s="9"/>
      <c r="KN42" s="9"/>
      <c r="KO42" s="9"/>
      <c r="KP42" s="9"/>
      <c r="KQ42" s="9"/>
      <c r="KR42" s="9"/>
      <c r="KS42" s="9"/>
      <c r="KT42" s="9"/>
      <c r="KU42" s="9"/>
      <c r="KV42" s="9"/>
      <c r="KW42" s="9"/>
      <c r="KX42" s="9"/>
      <c r="KY42" s="9"/>
      <c r="KZ42" s="9"/>
      <c r="LA42" s="9"/>
      <c r="LB42" s="9"/>
      <c r="LC42" s="9"/>
      <c r="LD42" s="9"/>
      <c r="LE42" s="9"/>
      <c r="LF42" s="9"/>
      <c r="LG42" s="9"/>
      <c r="LH42" s="9"/>
      <c r="LI42" s="9"/>
      <c r="LJ42" s="9"/>
      <c r="LK42" s="9"/>
      <c r="LL42" s="9"/>
      <c r="LM42" s="9"/>
      <c r="LN42" s="9"/>
      <c r="LO42" s="9"/>
      <c r="LP42" s="9"/>
      <c r="LQ42" s="9"/>
      <c r="LR42" s="9"/>
      <c r="LS42" s="9"/>
      <c r="LT42" s="9"/>
      <c r="LU42" s="9"/>
      <c r="LV42" s="9"/>
      <c r="LW42" s="9"/>
      <c r="LX42" s="9"/>
      <c r="LY42" s="9"/>
      <c r="LZ42" s="9"/>
      <c r="MA42" s="9"/>
      <c r="MB42" s="9"/>
      <c r="MC42" s="9"/>
      <c r="MD42" s="9"/>
      <c r="ME42" s="9"/>
      <c r="MF42" s="9"/>
      <c r="MG42" s="9"/>
      <c r="MH42" s="9"/>
      <c r="MI42" s="9"/>
      <c r="MJ42" s="9"/>
      <c r="MK42" s="9"/>
      <c r="ML42" s="9"/>
      <c r="MM42" s="9"/>
      <c r="MN42" s="9"/>
      <c r="MO42" s="9"/>
      <c r="MP42" s="9"/>
      <c r="MQ42" s="9"/>
      <c r="MR42" s="9"/>
      <c r="MS42" s="9"/>
      <c r="MT42" s="9"/>
      <c r="MU42" s="9"/>
      <c r="MV42" s="9"/>
      <c r="MW42" s="9"/>
      <c r="MX42" s="9"/>
      <c r="MY42" s="9"/>
      <c r="MZ42" s="9"/>
      <c r="NA42" s="9"/>
      <c r="NB42" s="9"/>
      <c r="NC42" s="9"/>
      <c r="ND42" s="9"/>
      <c r="NE42" s="9"/>
      <c r="NF42" s="9"/>
      <c r="NG42" s="9"/>
      <c r="NH42" s="9"/>
      <c r="NI42" s="9"/>
      <c r="NJ42" s="9"/>
      <c r="NK42" s="9"/>
      <c r="NL42" s="9"/>
      <c r="NM42" s="9"/>
      <c r="NN42" s="9"/>
      <c r="NO42" s="9"/>
      <c r="NP42" s="9"/>
      <c r="NQ42" s="9"/>
      <c r="NR42" s="9"/>
      <c r="NS42" s="9"/>
      <c r="NT42" s="9"/>
      <c r="NU42" s="9"/>
      <c r="NV42" s="9"/>
      <c r="NW42" s="9"/>
      <c r="NX42" s="9"/>
      <c r="NY42" s="9"/>
      <c r="NZ42" s="9"/>
      <c r="OA42" s="9"/>
      <c r="OB42" s="9"/>
      <c r="OC42" s="9"/>
      <c r="OD42" s="9"/>
      <c r="OE42" s="9"/>
      <c r="OF42" s="9"/>
      <c r="OG42" s="9"/>
      <c r="OH42" s="9"/>
      <c r="OI42" s="9"/>
      <c r="OJ42" s="9"/>
      <c r="OK42" s="9"/>
      <c r="OL42" s="9"/>
      <c r="OM42" s="9"/>
      <c r="ON42" s="9"/>
      <c r="OO42" s="9"/>
      <c r="OP42" s="9"/>
      <c r="OQ42" s="9"/>
      <c r="OR42" s="9"/>
      <c r="OS42" s="9"/>
      <c r="OT42" s="9"/>
      <c r="OU42" s="9"/>
      <c r="OV42" s="9"/>
      <c r="OW42" s="9"/>
      <c r="OX42" s="9"/>
      <c r="OY42" s="9"/>
      <c r="OZ42" s="9"/>
      <c r="PA42" s="9"/>
      <c r="PB42" s="9"/>
      <c r="PC42" s="9"/>
      <c r="PD42" s="9"/>
      <c r="PE42" s="9"/>
      <c r="PF42" s="9"/>
      <c r="PG42" s="9"/>
      <c r="PH42" s="9"/>
      <c r="PI42" s="9"/>
      <c r="PJ42" s="9"/>
      <c r="PK42" s="9"/>
      <c r="PL42" s="9"/>
      <c r="PM42" s="9"/>
      <c r="PN42" s="9"/>
      <c r="PO42" s="9"/>
      <c r="PP42" s="9"/>
      <c r="PQ42" s="9"/>
      <c r="PR42" s="9"/>
      <c r="PS42" s="9"/>
      <c r="PT42" s="9"/>
      <c r="PU42" s="9"/>
      <c r="PV42" s="9"/>
      <c r="PW42" s="9"/>
      <c r="PX42" s="9"/>
      <c r="PY42" s="9"/>
      <c r="PZ42" s="9"/>
      <c r="QA42" s="9"/>
      <c r="QB42" s="9"/>
      <c r="QC42" s="9"/>
      <c r="QD42" s="9"/>
      <c r="QE42" s="9"/>
      <c r="QF42" s="9"/>
      <c r="QG42" s="9"/>
      <c r="QH42" s="9"/>
      <c r="QI42" s="9"/>
      <c r="QJ42" s="9"/>
      <c r="QK42" s="9"/>
      <c r="QL42" s="9"/>
      <c r="QM42" s="9"/>
      <c r="QN42" s="9"/>
      <c r="QO42" s="9"/>
      <c r="QP42" s="9"/>
      <c r="QQ42" s="9"/>
      <c r="QR42" s="9"/>
      <c r="QS42" s="9"/>
      <c r="QT42" s="9"/>
      <c r="QU42" s="9"/>
      <c r="QV42" s="9"/>
      <c r="QW42" s="9"/>
      <c r="QX42" s="9"/>
      <c r="QY42" s="9"/>
      <c r="QZ42" s="9"/>
      <c r="RA42" s="9"/>
      <c r="RB42" s="9"/>
      <c r="RC42" s="9"/>
      <c r="RD42" s="9"/>
      <c r="RE42" s="9"/>
      <c r="RF42" s="9"/>
      <c r="RG42" s="9"/>
      <c r="RH42" s="9"/>
      <c r="RI42" s="9"/>
      <c r="RJ42" s="9"/>
      <c r="RK42" s="9"/>
      <c r="RL42" s="9"/>
      <c r="RM42" s="9"/>
      <c r="RN42" s="9"/>
      <c r="RO42" s="9"/>
      <c r="RP42" s="9"/>
      <c r="RQ42" s="9"/>
      <c r="RR42" s="9"/>
      <c r="RS42" s="9"/>
      <c r="RT42" s="9"/>
      <c r="RU42" s="9"/>
      <c r="RV42" s="9"/>
      <c r="RW42" s="9"/>
      <c r="RX42" s="9"/>
      <c r="RY42" s="9"/>
      <c r="RZ42" s="9"/>
      <c r="SA42" s="9"/>
      <c r="SB42" s="9"/>
      <c r="SC42" s="9"/>
      <c r="SD42" s="9"/>
      <c r="SE42" s="9"/>
      <c r="SF42" s="9"/>
      <c r="SG42" s="9"/>
      <c r="SH42" s="9"/>
      <c r="SI42" s="9"/>
      <c r="SJ42" s="9"/>
      <c r="SK42" s="9"/>
      <c r="SL42" s="9"/>
      <c r="SM42" s="9"/>
      <c r="SN42" s="9"/>
      <c r="SO42" s="9"/>
      <c r="SP42" s="9"/>
      <c r="SQ42" s="9"/>
      <c r="SR42" s="9"/>
      <c r="SS42" s="9"/>
      <c r="ST42" s="9"/>
      <c r="SU42" s="9"/>
      <c r="SV42" s="9"/>
      <c r="SW42" s="9"/>
      <c r="SX42" s="9"/>
      <c r="SY42" s="9"/>
      <c r="SZ42" s="9"/>
      <c r="TA42" s="9"/>
      <c r="TB42" s="9"/>
      <c r="TC42" s="9"/>
      <c r="TD42" s="9"/>
      <c r="TE42" s="9"/>
      <c r="TF42" s="9"/>
      <c r="TG42" s="9"/>
      <c r="TH42" s="9"/>
      <c r="TI42" s="9"/>
      <c r="TJ42" s="9"/>
      <c r="TK42" s="9"/>
      <c r="TL42" s="9"/>
      <c r="TM42" s="9"/>
      <c r="TN42" s="9"/>
      <c r="TO42" s="9"/>
      <c r="TP42" s="9"/>
      <c r="TQ42" s="9"/>
      <c r="TR42" s="9"/>
      <c r="TS42" s="9"/>
      <c r="TT42" s="9"/>
      <c r="TU42" s="9"/>
      <c r="TV42" s="9"/>
      <c r="TW42" s="9"/>
      <c r="TX42" s="9"/>
      <c r="TY42" s="9"/>
      <c r="TZ42" s="9"/>
      <c r="UA42" s="9"/>
      <c r="UB42" s="9"/>
      <c r="UC42" s="9"/>
      <c r="UD42" s="9"/>
      <c r="UE42" s="9"/>
      <c r="UF42" s="9"/>
      <c r="UG42" s="9"/>
      <c r="UH42" s="9"/>
      <c r="UI42" s="9"/>
      <c r="UJ42" s="9"/>
      <c r="UK42" s="9"/>
      <c r="UL42" s="9"/>
      <c r="UM42" s="9"/>
    </row>
    <row r="43" spans="1:559" s="133" customFormat="1" ht="11.25" customHeight="1">
      <c r="A43" s="50"/>
      <c r="B43" s="10"/>
      <c r="C43" s="10"/>
      <c r="D43" s="50"/>
      <c r="E43" s="50"/>
      <c r="F43" s="50"/>
      <c r="G43" s="50"/>
      <c r="H43" s="50"/>
      <c r="I43" s="50"/>
      <c r="J43" s="50"/>
      <c r="K43" s="277" t="s">
        <v>1032</v>
      </c>
      <c r="L43" s="46"/>
      <c r="M43" s="357" t="s">
        <v>1734</v>
      </c>
      <c r="N43" s="357"/>
      <c r="O43" s="357"/>
      <c r="P43" s="8"/>
      <c r="Q43" s="275" t="str">
        <f>IF(ISERROR(VLOOKUP(P43,Tools!$D$11:$J$57,7,FALSE)),"",VLOOKUP(P43,Tools!$D$11:$J$57,7,FALSE))</f>
        <v/>
      </c>
      <c r="R43" s="275">
        <v>2</v>
      </c>
      <c r="S43" s="216">
        <v>44272</v>
      </c>
      <c r="T43" s="8">
        <v>1</v>
      </c>
      <c r="U43" s="8" t="s">
        <v>998</v>
      </c>
      <c r="V43" s="275">
        <f>IF(U43=dur_type_d,T43,IF(U43=dur_type_w,IF(Work_D_Only_Bool,T43*5,T43*7),IF(U43=dur_type_m,IF(Work_D_Only_Bool,NETWORKDAYS.INTL(S43,DATE(YEAR(S43),MONTH(S43)+T43,DAY(S43)-1),WE_Days,Holiday_Days),DATE(YEAR(S43),MONTH(S43)+T43,DAY(S43))-S43),"ERROR")))</f>
        <v>1</v>
      </c>
      <c r="W43" s="49"/>
      <c r="X43" s="179">
        <f>IF(V43&gt;0,S43+V43-1,S43+V43+1)</f>
        <v>44272</v>
      </c>
      <c r="Y43" s="47">
        <f>IF(S43&lt;&gt;"",IF($GE$7,W43,X43),"")</f>
        <v>44272</v>
      </c>
      <c r="Z43" s="179">
        <f>IF(T43&gt;0,S43,Y43)</f>
        <v>44272</v>
      </c>
      <c r="AA43" s="179">
        <f>IF(T43&gt;0,Y43,S43)</f>
        <v>44272</v>
      </c>
      <c r="AB43" s="48">
        <v>0</v>
      </c>
      <c r="AC43" s="179">
        <f>INT(Z43+AB43*(AA43-Z43))</f>
        <v>44272</v>
      </c>
      <c r="AD43" s="204">
        <f>IF(AND(AB43&lt;1,AC43&lt;$DC$7),0,1)</f>
        <v>0</v>
      </c>
      <c r="AE43" s="49"/>
      <c r="AF43" s="49"/>
      <c r="AG43" s="49"/>
      <c r="AH43" s="49"/>
      <c r="AI43" s="49"/>
      <c r="AJ43" s="224"/>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C43" s="9"/>
      <c r="JD43" s="9"/>
      <c r="JE43" s="9"/>
      <c r="JF43" s="9"/>
      <c r="JG43" s="9"/>
      <c r="JH43" s="9"/>
      <c r="JI43" s="9"/>
      <c r="JJ43" s="9"/>
      <c r="JK43" s="9"/>
      <c r="JL43" s="9"/>
      <c r="JM43" s="9"/>
      <c r="JN43" s="9"/>
      <c r="JO43" s="9"/>
      <c r="JP43" s="9"/>
      <c r="JQ43" s="9"/>
      <c r="JR43" s="9"/>
      <c r="JS43" s="9"/>
      <c r="JT43" s="9"/>
      <c r="JU43" s="9"/>
      <c r="JV43" s="9"/>
      <c r="JW43" s="9"/>
      <c r="JX43" s="9"/>
      <c r="JY43" s="9"/>
      <c r="JZ43" s="9"/>
      <c r="KA43" s="9"/>
      <c r="KB43" s="9"/>
      <c r="KC43" s="9"/>
      <c r="KD43" s="9"/>
      <c r="KE43" s="9"/>
      <c r="KF43" s="9"/>
      <c r="KG43" s="9"/>
      <c r="KH43" s="9"/>
      <c r="KI43" s="9"/>
      <c r="KJ43" s="9"/>
      <c r="KK43" s="9"/>
      <c r="KL43" s="9"/>
      <c r="KM43" s="9"/>
      <c r="KN43" s="9"/>
      <c r="KO43" s="9"/>
      <c r="KP43" s="9"/>
      <c r="KQ43" s="9"/>
      <c r="KR43" s="9"/>
      <c r="KS43" s="9"/>
      <c r="KT43" s="9"/>
      <c r="KU43" s="9"/>
      <c r="KV43" s="9"/>
      <c r="KW43" s="9"/>
      <c r="KX43" s="9"/>
      <c r="KY43" s="9"/>
      <c r="KZ43" s="9"/>
      <c r="LA43" s="9"/>
      <c r="LB43" s="9"/>
      <c r="LC43" s="9"/>
      <c r="LD43" s="9"/>
      <c r="LE43" s="9"/>
      <c r="LF43" s="9"/>
      <c r="LG43" s="9"/>
      <c r="LH43" s="9"/>
      <c r="LI43" s="9"/>
      <c r="LJ43" s="9"/>
      <c r="LK43" s="9"/>
      <c r="LL43" s="9"/>
      <c r="LM43" s="9"/>
      <c r="LN43" s="9"/>
      <c r="LO43" s="9"/>
      <c r="LP43" s="9"/>
      <c r="LQ43" s="9"/>
      <c r="LR43" s="9"/>
      <c r="LS43" s="9"/>
      <c r="LT43" s="9"/>
      <c r="LU43" s="9"/>
      <c r="LV43" s="9"/>
      <c r="LW43" s="9"/>
      <c r="LX43" s="9"/>
      <c r="LY43" s="9"/>
      <c r="LZ43" s="9"/>
      <c r="MA43" s="9"/>
      <c r="MB43" s="9"/>
      <c r="MC43" s="9"/>
      <c r="MD43" s="9"/>
      <c r="ME43" s="9"/>
      <c r="MF43" s="9"/>
      <c r="MG43" s="9"/>
      <c r="MH43" s="9"/>
      <c r="MI43" s="9"/>
      <c r="MJ43" s="9"/>
      <c r="MK43" s="9"/>
      <c r="ML43" s="9"/>
      <c r="MM43" s="9"/>
      <c r="MN43" s="9"/>
      <c r="MO43" s="9"/>
      <c r="MP43" s="9"/>
      <c r="MQ43" s="9"/>
      <c r="MR43" s="9"/>
      <c r="MS43" s="9"/>
      <c r="MT43" s="9"/>
      <c r="MU43" s="9"/>
      <c r="MV43" s="9"/>
      <c r="MW43" s="9"/>
      <c r="MX43" s="9"/>
      <c r="MY43" s="9"/>
      <c r="MZ43" s="9"/>
      <c r="NA43" s="9"/>
      <c r="NB43" s="9"/>
      <c r="NC43" s="9"/>
      <c r="ND43" s="9"/>
      <c r="NE43" s="9"/>
      <c r="NF43" s="9"/>
      <c r="NG43" s="9"/>
      <c r="NH43" s="9"/>
      <c r="NI43" s="9"/>
      <c r="NJ43" s="9"/>
      <c r="NK43" s="9"/>
      <c r="NL43" s="9"/>
      <c r="NM43" s="9"/>
      <c r="NN43" s="9"/>
      <c r="NO43" s="9"/>
      <c r="NP43" s="9"/>
      <c r="NQ43" s="9"/>
      <c r="NR43" s="9"/>
      <c r="NS43" s="9"/>
      <c r="NT43" s="9"/>
      <c r="NU43" s="9"/>
      <c r="NV43" s="9"/>
      <c r="NW43" s="9"/>
      <c r="NX43" s="9"/>
      <c r="NY43" s="9"/>
      <c r="NZ43" s="9"/>
      <c r="OA43" s="9"/>
      <c r="OB43" s="9"/>
      <c r="OC43" s="9"/>
      <c r="OD43" s="9"/>
      <c r="OE43" s="9"/>
      <c r="OF43" s="9"/>
      <c r="OG43" s="9"/>
      <c r="OH43" s="9"/>
      <c r="OI43" s="9"/>
      <c r="OJ43" s="9"/>
      <c r="OK43" s="9"/>
      <c r="OL43" s="9"/>
      <c r="OM43" s="9"/>
      <c r="ON43" s="9"/>
      <c r="OO43" s="9"/>
      <c r="OP43" s="9"/>
      <c r="OQ43" s="9"/>
      <c r="OR43" s="9"/>
      <c r="OS43" s="9"/>
      <c r="OT43" s="9"/>
      <c r="OU43" s="9"/>
      <c r="OV43" s="9"/>
      <c r="OW43" s="9"/>
      <c r="OX43" s="9"/>
      <c r="OY43" s="9"/>
      <c r="OZ43" s="9"/>
      <c r="PA43" s="9"/>
      <c r="PB43" s="9"/>
      <c r="PC43" s="9"/>
      <c r="PD43" s="9"/>
      <c r="PE43" s="9"/>
      <c r="PF43" s="9"/>
      <c r="PG43" s="9"/>
      <c r="PH43" s="9"/>
      <c r="PI43" s="9"/>
      <c r="PJ43" s="9"/>
      <c r="PK43" s="9"/>
      <c r="PL43" s="9"/>
      <c r="PM43" s="9"/>
      <c r="PN43" s="9"/>
      <c r="PO43" s="9"/>
      <c r="PP43" s="9"/>
      <c r="PQ43" s="9"/>
      <c r="PR43" s="9"/>
      <c r="PS43" s="9"/>
      <c r="PT43" s="9"/>
      <c r="PU43" s="9"/>
      <c r="PV43" s="9"/>
      <c r="PW43" s="9"/>
      <c r="PX43" s="9"/>
      <c r="PY43" s="9"/>
      <c r="PZ43" s="9"/>
      <c r="QA43" s="9"/>
      <c r="QB43" s="9"/>
      <c r="QC43" s="9"/>
      <c r="QD43" s="9"/>
      <c r="QE43" s="9"/>
      <c r="QF43" s="9"/>
      <c r="QG43" s="9"/>
      <c r="QH43" s="9"/>
      <c r="QI43" s="9"/>
      <c r="QJ43" s="9"/>
      <c r="QK43" s="9"/>
      <c r="QL43" s="9"/>
      <c r="QM43" s="9"/>
      <c r="QN43" s="9"/>
      <c r="QO43" s="9"/>
      <c r="QP43" s="9"/>
      <c r="QQ43" s="9"/>
      <c r="QR43" s="9"/>
      <c r="QS43" s="9"/>
      <c r="QT43" s="9"/>
      <c r="QU43" s="9"/>
      <c r="QV43" s="9"/>
      <c r="QW43" s="9"/>
      <c r="QX43" s="9"/>
      <c r="QY43" s="9"/>
      <c r="QZ43" s="9"/>
      <c r="RA43" s="9"/>
      <c r="RB43" s="9"/>
      <c r="RC43" s="9"/>
      <c r="RD43" s="9"/>
      <c r="RE43" s="9"/>
      <c r="RF43" s="9"/>
      <c r="RG43" s="9"/>
      <c r="RH43" s="9"/>
      <c r="RI43" s="9"/>
      <c r="RJ43" s="9"/>
      <c r="RK43" s="9"/>
      <c r="RL43" s="9"/>
      <c r="RM43" s="9"/>
      <c r="RN43" s="9"/>
      <c r="RO43" s="9"/>
      <c r="RP43" s="9"/>
      <c r="RQ43" s="9"/>
      <c r="RR43" s="9"/>
      <c r="RS43" s="9"/>
      <c r="RT43" s="9"/>
      <c r="RU43" s="9"/>
      <c r="RV43" s="9"/>
      <c r="RW43" s="9"/>
      <c r="RX43" s="9"/>
      <c r="RY43" s="9"/>
      <c r="RZ43" s="9"/>
      <c r="SA43" s="9"/>
      <c r="SB43" s="9"/>
      <c r="SC43" s="9"/>
      <c r="SD43" s="9"/>
      <c r="SE43" s="9"/>
      <c r="SF43" s="9"/>
      <c r="SG43" s="9"/>
      <c r="SH43" s="9"/>
      <c r="SI43" s="9"/>
      <c r="SJ43" s="9"/>
      <c r="SK43" s="9"/>
      <c r="SL43" s="9"/>
      <c r="SM43" s="9"/>
      <c r="SN43" s="9"/>
      <c r="SO43" s="9"/>
      <c r="SP43" s="9"/>
      <c r="SQ43" s="9"/>
      <c r="SR43" s="9"/>
      <c r="SS43" s="9"/>
      <c r="ST43" s="9"/>
      <c r="SU43" s="9"/>
      <c r="SV43" s="9"/>
      <c r="SW43" s="9"/>
      <c r="SX43" s="9"/>
      <c r="SY43" s="9"/>
      <c r="SZ43" s="9"/>
      <c r="TA43" s="9"/>
      <c r="TB43" s="9"/>
      <c r="TC43" s="9"/>
      <c r="TD43" s="9"/>
      <c r="TE43" s="9"/>
      <c r="TF43" s="9"/>
      <c r="TG43" s="9"/>
      <c r="TH43" s="9"/>
      <c r="TI43" s="9"/>
      <c r="TJ43" s="9"/>
      <c r="TK43" s="9"/>
      <c r="TL43" s="9"/>
      <c r="TM43" s="9"/>
      <c r="TN43" s="9"/>
      <c r="TO43" s="9"/>
      <c r="TP43" s="9"/>
      <c r="TQ43" s="9"/>
      <c r="TR43" s="9"/>
      <c r="TS43" s="9"/>
      <c r="TT43" s="9"/>
      <c r="TU43" s="9"/>
      <c r="TV43" s="9"/>
      <c r="TW43" s="9"/>
      <c r="TX43" s="9"/>
      <c r="TY43" s="9"/>
      <c r="TZ43" s="9"/>
      <c r="UA43" s="9"/>
      <c r="UB43" s="9"/>
      <c r="UC43" s="9"/>
      <c r="UD43" s="9"/>
      <c r="UE43" s="9"/>
      <c r="UF43" s="9"/>
      <c r="UG43" s="9"/>
      <c r="UH43" s="9"/>
      <c r="UI43" s="9"/>
      <c r="UJ43" s="9"/>
      <c r="UK43" s="9"/>
      <c r="UL43" s="9"/>
      <c r="UM43" s="9"/>
    </row>
    <row r="44" spans="1:559" s="133" customFormat="1" ht="11.25" customHeight="1">
      <c r="A44" s="50"/>
      <c r="B44" s="10"/>
      <c r="C44" s="10"/>
      <c r="D44" s="50"/>
      <c r="E44" s="50"/>
      <c r="F44" s="50"/>
      <c r="G44" s="50"/>
      <c r="H44" s="50"/>
      <c r="I44" s="50"/>
      <c r="J44" s="50"/>
      <c r="K44" s="277" t="s">
        <v>1725</v>
      </c>
      <c r="L44" s="46"/>
      <c r="M44" s="357" t="s">
        <v>1735</v>
      </c>
      <c r="N44" s="357"/>
      <c r="O44" s="357"/>
      <c r="P44" s="8"/>
      <c r="Q44" s="275" t="str">
        <f>IF(ISERROR(VLOOKUP(P44,Tools!$D$11:$J$57,7,FALSE)),"",VLOOKUP(P44,Tools!$D$11:$J$57,7,FALSE))</f>
        <v/>
      </c>
      <c r="R44" s="275">
        <v>2</v>
      </c>
      <c r="S44" s="216">
        <v>44273</v>
      </c>
      <c r="T44" s="8">
        <v>2</v>
      </c>
      <c r="U44" s="8" t="s">
        <v>998</v>
      </c>
      <c r="V44" s="275">
        <f>IF(U44=dur_type_d,T44,IF(U44=dur_type_w,IF(Work_D_Only_Bool,T44*5,T44*7),IF(U44=dur_type_m,IF(Work_D_Only_Bool,NETWORKDAYS.INTL(S44,DATE(YEAR(S44),MONTH(S44)+T44,DAY(S44)-1),WE_Days,Holiday_Days),DATE(YEAR(S44),MONTH(S44)+T44,DAY(S44))-S44),"ERROR")))</f>
        <v>2</v>
      </c>
      <c r="W44" s="49"/>
      <c r="X44" s="179">
        <f>IF(V44&gt;0,S44+V44-1,S44+V44+1)</f>
        <v>44274</v>
      </c>
      <c r="Y44" s="47">
        <f>IF(S44&lt;&gt;"",IF($GE$7,W44,X44),"")</f>
        <v>44274</v>
      </c>
      <c r="Z44" s="179">
        <f>IF(T44&gt;0,S44,Y44)</f>
        <v>44273</v>
      </c>
      <c r="AA44" s="179">
        <f>IF(T44&gt;0,Y44,S44)</f>
        <v>44274</v>
      </c>
      <c r="AB44" s="48">
        <v>0</v>
      </c>
      <c r="AC44" s="179">
        <f>INT(Z44+AB44*(AA44-Z44))</f>
        <v>44273</v>
      </c>
      <c r="AD44" s="204">
        <f>IF(AND(AB44&lt;1,AC44&lt;$DC$7),0,1)</f>
        <v>0</v>
      </c>
      <c r="AE44" s="49"/>
      <c r="AF44" s="49"/>
      <c r="AG44" s="49"/>
      <c r="AH44" s="49"/>
      <c r="AI44" s="49"/>
      <c r="AJ44" s="224"/>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B44" s="9"/>
      <c r="JC44" s="9"/>
      <c r="JD44" s="9"/>
      <c r="JE44" s="9"/>
      <c r="JF44" s="9"/>
      <c r="JG44" s="9"/>
      <c r="JH44" s="9"/>
      <c r="JI44" s="9"/>
      <c r="JJ44" s="9"/>
      <c r="JK44" s="9"/>
      <c r="JL44" s="9"/>
      <c r="JM44" s="9"/>
      <c r="JN44" s="9"/>
      <c r="JO44" s="9"/>
      <c r="JP44" s="9"/>
      <c r="JQ44" s="9"/>
      <c r="JR44" s="9"/>
      <c r="JS44" s="9"/>
      <c r="JT44" s="9"/>
      <c r="JU44" s="9"/>
      <c r="JV44" s="9"/>
      <c r="JW44" s="9"/>
      <c r="JX44" s="9"/>
      <c r="JY44" s="9"/>
      <c r="JZ44" s="9"/>
      <c r="KA44" s="9"/>
      <c r="KB44" s="9"/>
      <c r="KC44" s="9"/>
      <c r="KD44" s="9"/>
      <c r="KE44" s="9"/>
      <c r="KF44" s="9"/>
      <c r="KG44" s="9"/>
      <c r="KH44" s="9"/>
      <c r="KI44" s="9"/>
      <c r="KJ44" s="9"/>
      <c r="KK44" s="9"/>
      <c r="KL44" s="9"/>
      <c r="KM44" s="9"/>
      <c r="KN44" s="9"/>
      <c r="KO44" s="9"/>
      <c r="KP44" s="9"/>
      <c r="KQ44" s="9"/>
      <c r="KR44" s="9"/>
      <c r="KS44" s="9"/>
      <c r="KT44" s="9"/>
      <c r="KU44" s="9"/>
      <c r="KV44" s="9"/>
      <c r="KW44" s="9"/>
      <c r="KX44" s="9"/>
      <c r="KY44" s="9"/>
      <c r="KZ44" s="9"/>
      <c r="LA44" s="9"/>
      <c r="LB44" s="9"/>
      <c r="LC44" s="9"/>
      <c r="LD44" s="9"/>
      <c r="LE44" s="9"/>
      <c r="LF44" s="9"/>
      <c r="LG44" s="9"/>
      <c r="LH44" s="9"/>
      <c r="LI44" s="9"/>
      <c r="LJ44" s="9"/>
      <c r="LK44" s="9"/>
      <c r="LL44" s="9"/>
      <c r="LM44" s="9"/>
      <c r="LN44" s="9"/>
      <c r="LO44" s="9"/>
      <c r="LP44" s="9"/>
      <c r="LQ44" s="9"/>
      <c r="LR44" s="9"/>
      <c r="LS44" s="9"/>
      <c r="LT44" s="9"/>
      <c r="LU44" s="9"/>
      <c r="LV44" s="9"/>
      <c r="LW44" s="9"/>
      <c r="LX44" s="9"/>
      <c r="LY44" s="9"/>
      <c r="LZ44" s="9"/>
      <c r="MA44" s="9"/>
      <c r="MB44" s="9"/>
      <c r="MC44" s="9"/>
      <c r="MD44" s="9"/>
      <c r="ME44" s="9"/>
      <c r="MF44" s="9"/>
      <c r="MG44" s="9"/>
      <c r="MH44" s="9"/>
      <c r="MI44" s="9"/>
      <c r="MJ44" s="9"/>
      <c r="MK44" s="9"/>
      <c r="ML44" s="9"/>
      <c r="MM44" s="9"/>
      <c r="MN44" s="9"/>
      <c r="MO44" s="9"/>
      <c r="MP44" s="9"/>
      <c r="MQ44" s="9"/>
      <c r="MR44" s="9"/>
      <c r="MS44" s="9"/>
      <c r="MT44" s="9"/>
      <c r="MU44" s="9"/>
      <c r="MV44" s="9"/>
      <c r="MW44" s="9"/>
      <c r="MX44" s="9"/>
      <c r="MY44" s="9"/>
      <c r="MZ44" s="9"/>
      <c r="NA44" s="9"/>
      <c r="NB44" s="9"/>
      <c r="NC44" s="9"/>
      <c r="ND44" s="9"/>
      <c r="NE44" s="9"/>
      <c r="NF44" s="9"/>
      <c r="NG44" s="9"/>
      <c r="NH44" s="9"/>
      <c r="NI44" s="9"/>
      <c r="NJ44" s="9"/>
      <c r="NK44" s="9"/>
      <c r="NL44" s="9"/>
      <c r="NM44" s="9"/>
      <c r="NN44" s="9"/>
      <c r="NO44" s="9"/>
      <c r="NP44" s="9"/>
      <c r="NQ44" s="9"/>
      <c r="NR44" s="9"/>
      <c r="NS44" s="9"/>
      <c r="NT44" s="9"/>
      <c r="NU44" s="9"/>
      <c r="NV44" s="9"/>
      <c r="NW44" s="9"/>
      <c r="NX44" s="9"/>
      <c r="NY44" s="9"/>
      <c r="NZ44" s="9"/>
      <c r="OA44" s="9"/>
      <c r="OB44" s="9"/>
      <c r="OC44" s="9"/>
      <c r="OD44" s="9"/>
      <c r="OE44" s="9"/>
      <c r="OF44" s="9"/>
      <c r="OG44" s="9"/>
      <c r="OH44" s="9"/>
      <c r="OI44" s="9"/>
      <c r="OJ44" s="9"/>
      <c r="OK44" s="9"/>
      <c r="OL44" s="9"/>
      <c r="OM44" s="9"/>
      <c r="ON44" s="9"/>
      <c r="OO44" s="9"/>
      <c r="OP44" s="9"/>
      <c r="OQ44" s="9"/>
      <c r="OR44" s="9"/>
      <c r="OS44" s="9"/>
      <c r="OT44" s="9"/>
      <c r="OU44" s="9"/>
      <c r="OV44" s="9"/>
      <c r="OW44" s="9"/>
      <c r="OX44" s="9"/>
      <c r="OY44" s="9"/>
      <c r="OZ44" s="9"/>
      <c r="PA44" s="9"/>
      <c r="PB44" s="9"/>
      <c r="PC44" s="9"/>
      <c r="PD44" s="9"/>
      <c r="PE44" s="9"/>
      <c r="PF44" s="9"/>
      <c r="PG44" s="9"/>
      <c r="PH44" s="9"/>
      <c r="PI44" s="9"/>
      <c r="PJ44" s="9"/>
      <c r="PK44" s="9"/>
      <c r="PL44" s="9"/>
      <c r="PM44" s="9"/>
      <c r="PN44" s="9"/>
      <c r="PO44" s="9"/>
      <c r="PP44" s="9"/>
      <c r="PQ44" s="9"/>
      <c r="PR44" s="9"/>
      <c r="PS44" s="9"/>
      <c r="PT44" s="9"/>
      <c r="PU44" s="9"/>
      <c r="PV44" s="9"/>
      <c r="PW44" s="9"/>
      <c r="PX44" s="9"/>
      <c r="PY44" s="9"/>
      <c r="PZ44" s="9"/>
      <c r="QA44" s="9"/>
      <c r="QB44" s="9"/>
      <c r="QC44" s="9"/>
      <c r="QD44" s="9"/>
      <c r="QE44" s="9"/>
      <c r="QF44" s="9"/>
      <c r="QG44" s="9"/>
      <c r="QH44" s="9"/>
      <c r="QI44" s="9"/>
      <c r="QJ44" s="9"/>
      <c r="QK44" s="9"/>
      <c r="QL44" s="9"/>
      <c r="QM44" s="9"/>
      <c r="QN44" s="9"/>
      <c r="QO44" s="9"/>
      <c r="QP44" s="9"/>
      <c r="QQ44" s="9"/>
      <c r="QR44" s="9"/>
      <c r="QS44" s="9"/>
      <c r="QT44" s="9"/>
      <c r="QU44" s="9"/>
      <c r="QV44" s="9"/>
      <c r="QW44" s="9"/>
      <c r="QX44" s="9"/>
      <c r="QY44" s="9"/>
      <c r="QZ44" s="9"/>
      <c r="RA44" s="9"/>
      <c r="RB44" s="9"/>
      <c r="RC44" s="9"/>
      <c r="RD44" s="9"/>
      <c r="RE44" s="9"/>
      <c r="RF44" s="9"/>
      <c r="RG44" s="9"/>
      <c r="RH44" s="9"/>
      <c r="RI44" s="9"/>
      <c r="RJ44" s="9"/>
      <c r="RK44" s="9"/>
      <c r="RL44" s="9"/>
      <c r="RM44" s="9"/>
      <c r="RN44" s="9"/>
      <c r="RO44" s="9"/>
      <c r="RP44" s="9"/>
      <c r="RQ44" s="9"/>
      <c r="RR44" s="9"/>
      <c r="RS44" s="9"/>
      <c r="RT44" s="9"/>
      <c r="RU44" s="9"/>
      <c r="RV44" s="9"/>
      <c r="RW44" s="9"/>
      <c r="RX44" s="9"/>
      <c r="RY44" s="9"/>
      <c r="RZ44" s="9"/>
      <c r="SA44" s="9"/>
      <c r="SB44" s="9"/>
      <c r="SC44" s="9"/>
      <c r="SD44" s="9"/>
      <c r="SE44" s="9"/>
      <c r="SF44" s="9"/>
      <c r="SG44" s="9"/>
      <c r="SH44" s="9"/>
      <c r="SI44" s="9"/>
      <c r="SJ44" s="9"/>
      <c r="SK44" s="9"/>
      <c r="SL44" s="9"/>
      <c r="SM44" s="9"/>
      <c r="SN44" s="9"/>
      <c r="SO44" s="9"/>
      <c r="SP44" s="9"/>
      <c r="SQ44" s="9"/>
      <c r="SR44" s="9"/>
      <c r="SS44" s="9"/>
      <c r="ST44" s="9"/>
      <c r="SU44" s="9"/>
      <c r="SV44" s="9"/>
      <c r="SW44" s="9"/>
      <c r="SX44" s="9"/>
      <c r="SY44" s="9"/>
      <c r="SZ44" s="9"/>
      <c r="TA44" s="9"/>
      <c r="TB44" s="9"/>
      <c r="TC44" s="9"/>
      <c r="TD44" s="9"/>
      <c r="TE44" s="9"/>
      <c r="TF44" s="9"/>
      <c r="TG44" s="9"/>
      <c r="TH44" s="9"/>
      <c r="TI44" s="9"/>
      <c r="TJ44" s="9"/>
      <c r="TK44" s="9"/>
      <c r="TL44" s="9"/>
      <c r="TM44" s="9"/>
      <c r="TN44" s="9"/>
      <c r="TO44" s="9"/>
      <c r="TP44" s="9"/>
      <c r="TQ44" s="9"/>
      <c r="TR44" s="9"/>
      <c r="TS44" s="9"/>
      <c r="TT44" s="9"/>
      <c r="TU44" s="9"/>
      <c r="TV44" s="9"/>
      <c r="TW44" s="9"/>
      <c r="TX44" s="9"/>
      <c r="TY44" s="9"/>
      <c r="TZ44" s="9"/>
      <c r="UA44" s="9"/>
      <c r="UB44" s="9"/>
      <c r="UC44" s="9"/>
      <c r="UD44" s="9"/>
      <c r="UE44" s="9"/>
      <c r="UF44" s="9"/>
      <c r="UG44" s="9"/>
      <c r="UH44" s="9"/>
      <c r="UI44" s="9"/>
      <c r="UJ44" s="9"/>
      <c r="UK44" s="9"/>
      <c r="UL44" s="9"/>
      <c r="UM44" s="9"/>
    </row>
    <row r="45" spans="1:559" s="133" customFormat="1" ht="11.25" customHeight="1">
      <c r="A45" s="50"/>
      <c r="B45" s="10"/>
      <c r="C45" s="10"/>
      <c r="D45" s="50"/>
      <c r="E45" s="50"/>
      <c r="F45" s="50"/>
      <c r="G45" s="50"/>
      <c r="H45" s="50"/>
      <c r="I45" s="50"/>
      <c r="J45" s="50"/>
      <c r="K45" s="277" t="s">
        <v>1726</v>
      </c>
      <c r="L45" s="46"/>
      <c r="M45" s="357" t="s">
        <v>1736</v>
      </c>
      <c r="N45" s="357"/>
      <c r="O45" s="357"/>
      <c r="P45" s="8"/>
      <c r="Q45" s="275" t="str">
        <f>IF(ISERROR(VLOOKUP(P45,Tools!$D$11:$J$57,7,FALSE)),"",VLOOKUP(P45,Tools!$D$11:$J$57,7,FALSE))</f>
        <v/>
      </c>
      <c r="R45" s="275">
        <v>2</v>
      </c>
      <c r="S45" s="216">
        <v>44274</v>
      </c>
      <c r="T45" s="8">
        <v>2</v>
      </c>
      <c r="U45" s="8" t="s">
        <v>998</v>
      </c>
      <c r="V45" s="275">
        <f>IF(U45=dur_type_d,T45,IF(U45=dur_type_w,IF(Work_D_Only_Bool,T45*5,T45*7),IF(U45=dur_type_m,IF(Work_D_Only_Bool,NETWORKDAYS.INTL(S45,DATE(YEAR(S45),MONTH(S45)+T45,DAY(S45)-1),WE_Days,Holiday_Days),DATE(YEAR(S45),MONTH(S45)+T45,DAY(S45))-S45),"ERROR")))</f>
        <v>2</v>
      </c>
      <c r="W45" s="49"/>
      <c r="X45" s="179">
        <f>IF(V45&gt;0,S45+V45-1,S45+V45+1)</f>
        <v>44275</v>
      </c>
      <c r="Y45" s="47">
        <f>IF(S45&lt;&gt;"",IF($GE$7,W45,X45),"")</f>
        <v>44275</v>
      </c>
      <c r="Z45" s="179">
        <f>IF(T45&gt;0,S45,Y45)</f>
        <v>44274</v>
      </c>
      <c r="AA45" s="179">
        <f>IF(T45&gt;0,Y45,S45)</f>
        <v>44275</v>
      </c>
      <c r="AB45" s="48">
        <v>0</v>
      </c>
      <c r="AC45" s="179">
        <f>INT(Z45+AB45*(AA45-Z45))</f>
        <v>44274</v>
      </c>
      <c r="AD45" s="204">
        <f>IF(AND(AB45&lt;1,AC45&lt;$DC$7),0,1)</f>
        <v>0</v>
      </c>
      <c r="AE45" s="49"/>
      <c r="AF45" s="49"/>
      <c r="AG45" s="49"/>
      <c r="AH45" s="49"/>
      <c r="AI45" s="49"/>
      <c r="AJ45" s="224"/>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9"/>
      <c r="IR45" s="9"/>
      <c r="IS45" s="9"/>
      <c r="IT45" s="9"/>
      <c r="IU45" s="9"/>
      <c r="IV45" s="9"/>
      <c r="IW45" s="9"/>
      <c r="IX45" s="9"/>
      <c r="IY45" s="9"/>
      <c r="IZ45" s="9"/>
      <c r="JA45" s="9"/>
      <c r="JB45" s="9"/>
      <c r="JC45" s="9"/>
      <c r="JD45" s="9"/>
      <c r="JE45" s="9"/>
      <c r="JF45" s="9"/>
      <c r="JG45" s="9"/>
      <c r="JH45" s="9"/>
      <c r="JI45" s="9"/>
      <c r="JJ45" s="9"/>
      <c r="JK45" s="9"/>
      <c r="JL45" s="9"/>
      <c r="JM45" s="9"/>
      <c r="JN45" s="9"/>
      <c r="JO45" s="9"/>
      <c r="JP45" s="9"/>
      <c r="JQ45" s="9"/>
      <c r="JR45" s="9"/>
      <c r="JS45" s="9"/>
      <c r="JT45" s="9"/>
      <c r="JU45" s="9"/>
      <c r="JV45" s="9"/>
      <c r="JW45" s="9"/>
      <c r="JX45" s="9"/>
      <c r="JY45" s="9"/>
      <c r="JZ45" s="9"/>
      <c r="KA45" s="9"/>
      <c r="KB45" s="9"/>
      <c r="KC45" s="9"/>
      <c r="KD45" s="9"/>
      <c r="KE45" s="9"/>
      <c r="KF45" s="9"/>
      <c r="KG45" s="9"/>
      <c r="KH45" s="9"/>
      <c r="KI45" s="9"/>
      <c r="KJ45" s="9"/>
      <c r="KK45" s="9"/>
      <c r="KL45" s="9"/>
      <c r="KM45" s="9"/>
      <c r="KN45" s="9"/>
      <c r="KO45" s="9"/>
      <c r="KP45" s="9"/>
      <c r="KQ45" s="9"/>
      <c r="KR45" s="9"/>
      <c r="KS45" s="9"/>
      <c r="KT45" s="9"/>
      <c r="KU45" s="9"/>
      <c r="KV45" s="9"/>
      <c r="KW45" s="9"/>
      <c r="KX45" s="9"/>
      <c r="KY45" s="9"/>
      <c r="KZ45" s="9"/>
      <c r="LA45" s="9"/>
      <c r="LB45" s="9"/>
      <c r="LC45" s="9"/>
      <c r="LD45" s="9"/>
      <c r="LE45" s="9"/>
      <c r="LF45" s="9"/>
      <c r="LG45" s="9"/>
      <c r="LH45" s="9"/>
      <c r="LI45" s="9"/>
      <c r="LJ45" s="9"/>
      <c r="LK45" s="9"/>
      <c r="LL45" s="9"/>
      <c r="LM45" s="9"/>
      <c r="LN45" s="9"/>
      <c r="LO45" s="9"/>
      <c r="LP45" s="9"/>
      <c r="LQ45" s="9"/>
      <c r="LR45" s="9"/>
      <c r="LS45" s="9"/>
      <c r="LT45" s="9"/>
      <c r="LU45" s="9"/>
      <c r="LV45" s="9"/>
      <c r="LW45" s="9"/>
      <c r="LX45" s="9"/>
      <c r="LY45" s="9"/>
      <c r="LZ45" s="9"/>
      <c r="MA45" s="9"/>
      <c r="MB45" s="9"/>
      <c r="MC45" s="9"/>
      <c r="MD45" s="9"/>
      <c r="ME45" s="9"/>
      <c r="MF45" s="9"/>
      <c r="MG45" s="9"/>
      <c r="MH45" s="9"/>
      <c r="MI45" s="9"/>
      <c r="MJ45" s="9"/>
      <c r="MK45" s="9"/>
      <c r="ML45" s="9"/>
      <c r="MM45" s="9"/>
      <c r="MN45" s="9"/>
      <c r="MO45" s="9"/>
      <c r="MP45" s="9"/>
      <c r="MQ45" s="9"/>
      <c r="MR45" s="9"/>
      <c r="MS45" s="9"/>
      <c r="MT45" s="9"/>
      <c r="MU45" s="9"/>
      <c r="MV45" s="9"/>
      <c r="MW45" s="9"/>
      <c r="MX45" s="9"/>
      <c r="MY45" s="9"/>
      <c r="MZ45" s="9"/>
      <c r="NA45" s="9"/>
      <c r="NB45" s="9"/>
      <c r="NC45" s="9"/>
      <c r="ND45" s="9"/>
      <c r="NE45" s="9"/>
      <c r="NF45" s="9"/>
      <c r="NG45" s="9"/>
      <c r="NH45" s="9"/>
      <c r="NI45" s="9"/>
      <c r="NJ45" s="9"/>
      <c r="NK45" s="9"/>
      <c r="NL45" s="9"/>
      <c r="NM45" s="9"/>
      <c r="NN45" s="9"/>
      <c r="NO45" s="9"/>
      <c r="NP45" s="9"/>
      <c r="NQ45" s="9"/>
      <c r="NR45" s="9"/>
      <c r="NS45" s="9"/>
      <c r="NT45" s="9"/>
      <c r="NU45" s="9"/>
      <c r="NV45" s="9"/>
      <c r="NW45" s="9"/>
      <c r="NX45" s="9"/>
      <c r="NY45" s="9"/>
      <c r="NZ45" s="9"/>
      <c r="OA45" s="9"/>
      <c r="OB45" s="9"/>
      <c r="OC45" s="9"/>
      <c r="OD45" s="9"/>
      <c r="OE45" s="9"/>
      <c r="OF45" s="9"/>
      <c r="OG45" s="9"/>
      <c r="OH45" s="9"/>
      <c r="OI45" s="9"/>
      <c r="OJ45" s="9"/>
      <c r="OK45" s="9"/>
      <c r="OL45" s="9"/>
      <c r="OM45" s="9"/>
      <c r="ON45" s="9"/>
      <c r="OO45" s="9"/>
      <c r="OP45" s="9"/>
      <c r="OQ45" s="9"/>
      <c r="OR45" s="9"/>
      <c r="OS45" s="9"/>
      <c r="OT45" s="9"/>
      <c r="OU45" s="9"/>
      <c r="OV45" s="9"/>
      <c r="OW45" s="9"/>
      <c r="OX45" s="9"/>
      <c r="OY45" s="9"/>
      <c r="OZ45" s="9"/>
      <c r="PA45" s="9"/>
      <c r="PB45" s="9"/>
      <c r="PC45" s="9"/>
      <c r="PD45" s="9"/>
      <c r="PE45" s="9"/>
      <c r="PF45" s="9"/>
      <c r="PG45" s="9"/>
      <c r="PH45" s="9"/>
      <c r="PI45" s="9"/>
      <c r="PJ45" s="9"/>
      <c r="PK45" s="9"/>
      <c r="PL45" s="9"/>
      <c r="PM45" s="9"/>
      <c r="PN45" s="9"/>
      <c r="PO45" s="9"/>
      <c r="PP45" s="9"/>
      <c r="PQ45" s="9"/>
      <c r="PR45" s="9"/>
      <c r="PS45" s="9"/>
      <c r="PT45" s="9"/>
      <c r="PU45" s="9"/>
      <c r="PV45" s="9"/>
      <c r="PW45" s="9"/>
      <c r="PX45" s="9"/>
      <c r="PY45" s="9"/>
      <c r="PZ45" s="9"/>
      <c r="QA45" s="9"/>
      <c r="QB45" s="9"/>
      <c r="QC45" s="9"/>
      <c r="QD45" s="9"/>
      <c r="QE45" s="9"/>
      <c r="QF45" s="9"/>
      <c r="QG45" s="9"/>
      <c r="QH45" s="9"/>
      <c r="QI45" s="9"/>
      <c r="QJ45" s="9"/>
      <c r="QK45" s="9"/>
      <c r="QL45" s="9"/>
      <c r="QM45" s="9"/>
      <c r="QN45" s="9"/>
      <c r="QO45" s="9"/>
      <c r="QP45" s="9"/>
      <c r="QQ45" s="9"/>
      <c r="QR45" s="9"/>
      <c r="QS45" s="9"/>
      <c r="QT45" s="9"/>
      <c r="QU45" s="9"/>
      <c r="QV45" s="9"/>
      <c r="QW45" s="9"/>
      <c r="QX45" s="9"/>
      <c r="QY45" s="9"/>
      <c r="QZ45" s="9"/>
      <c r="RA45" s="9"/>
      <c r="RB45" s="9"/>
      <c r="RC45" s="9"/>
      <c r="RD45" s="9"/>
      <c r="RE45" s="9"/>
      <c r="RF45" s="9"/>
      <c r="RG45" s="9"/>
      <c r="RH45" s="9"/>
      <c r="RI45" s="9"/>
      <c r="RJ45" s="9"/>
      <c r="RK45" s="9"/>
      <c r="RL45" s="9"/>
      <c r="RM45" s="9"/>
      <c r="RN45" s="9"/>
      <c r="RO45" s="9"/>
      <c r="RP45" s="9"/>
      <c r="RQ45" s="9"/>
      <c r="RR45" s="9"/>
      <c r="RS45" s="9"/>
      <c r="RT45" s="9"/>
      <c r="RU45" s="9"/>
      <c r="RV45" s="9"/>
      <c r="RW45" s="9"/>
      <c r="RX45" s="9"/>
      <c r="RY45" s="9"/>
      <c r="RZ45" s="9"/>
      <c r="SA45" s="9"/>
      <c r="SB45" s="9"/>
      <c r="SC45" s="9"/>
      <c r="SD45" s="9"/>
      <c r="SE45" s="9"/>
      <c r="SF45" s="9"/>
      <c r="SG45" s="9"/>
      <c r="SH45" s="9"/>
      <c r="SI45" s="9"/>
      <c r="SJ45" s="9"/>
      <c r="SK45" s="9"/>
      <c r="SL45" s="9"/>
      <c r="SM45" s="9"/>
      <c r="SN45" s="9"/>
      <c r="SO45" s="9"/>
      <c r="SP45" s="9"/>
      <c r="SQ45" s="9"/>
      <c r="SR45" s="9"/>
      <c r="SS45" s="9"/>
      <c r="ST45" s="9"/>
      <c r="SU45" s="9"/>
      <c r="SV45" s="9"/>
      <c r="SW45" s="9"/>
      <c r="SX45" s="9"/>
      <c r="SY45" s="9"/>
      <c r="SZ45" s="9"/>
      <c r="TA45" s="9"/>
      <c r="TB45" s="9"/>
      <c r="TC45" s="9"/>
      <c r="TD45" s="9"/>
      <c r="TE45" s="9"/>
      <c r="TF45" s="9"/>
      <c r="TG45" s="9"/>
      <c r="TH45" s="9"/>
      <c r="TI45" s="9"/>
      <c r="TJ45" s="9"/>
      <c r="TK45" s="9"/>
      <c r="TL45" s="9"/>
      <c r="TM45" s="9"/>
      <c r="TN45" s="9"/>
      <c r="TO45" s="9"/>
      <c r="TP45" s="9"/>
      <c r="TQ45" s="9"/>
      <c r="TR45" s="9"/>
      <c r="TS45" s="9"/>
      <c r="TT45" s="9"/>
      <c r="TU45" s="9"/>
      <c r="TV45" s="9"/>
      <c r="TW45" s="9"/>
      <c r="TX45" s="9"/>
      <c r="TY45" s="9"/>
      <c r="TZ45" s="9"/>
      <c r="UA45" s="9"/>
      <c r="UB45" s="9"/>
      <c r="UC45" s="9"/>
      <c r="UD45" s="9"/>
      <c r="UE45" s="9"/>
      <c r="UF45" s="9"/>
      <c r="UG45" s="9"/>
      <c r="UH45" s="9"/>
      <c r="UI45" s="9"/>
      <c r="UJ45" s="9"/>
      <c r="UK45" s="9"/>
      <c r="UL45" s="9"/>
      <c r="UM45" s="9"/>
    </row>
    <row r="46" spans="1:559" s="133" customFormat="1" ht="11.25" customHeight="1">
      <c r="A46" s="50"/>
      <c r="B46" s="10"/>
      <c r="C46" s="10"/>
      <c r="D46" s="50"/>
      <c r="E46" s="50"/>
      <c r="F46" s="50"/>
      <c r="G46" s="50"/>
      <c r="H46" s="50"/>
      <c r="I46" s="50"/>
      <c r="J46" s="50"/>
      <c r="K46" s="277" t="s">
        <v>1727</v>
      </c>
      <c r="L46" s="46"/>
      <c r="M46" s="357" t="s">
        <v>1737</v>
      </c>
      <c r="N46" s="357"/>
      <c r="O46" s="357"/>
      <c r="P46" s="8"/>
      <c r="Q46" s="275" t="str">
        <f>IF(ISERROR(VLOOKUP(P46,Tools!$D$11:$J$57,7,FALSE)),"",VLOOKUP(P46,Tools!$D$11:$J$57,7,FALSE))</f>
        <v/>
      </c>
      <c r="R46" s="275">
        <v>2</v>
      </c>
      <c r="S46" s="216">
        <v>44275</v>
      </c>
      <c r="T46" s="8">
        <v>2</v>
      </c>
      <c r="U46" s="8" t="s">
        <v>998</v>
      </c>
      <c r="V46" s="275">
        <f>IF(U46=dur_type_d,T46,IF(U46=dur_type_w,IF(Work_D_Only_Bool,T46*5,T46*7),IF(U46=dur_type_m,IF(Work_D_Only_Bool,NETWORKDAYS.INTL(S46,DATE(YEAR(S46),MONTH(S46)+T46,DAY(S46)-1),WE_Days,Holiday_Days),DATE(YEAR(S46),MONTH(S46)+T46,DAY(S46))-S46),"ERROR")))</f>
        <v>2</v>
      </c>
      <c r="W46" s="49"/>
      <c r="X46" s="179">
        <f>IF(V46&gt;0,S46+V46-1,S46+V46+1)</f>
        <v>44276</v>
      </c>
      <c r="Y46" s="47">
        <f>IF(S46&lt;&gt;"",IF($GE$7,W46,X46),"")</f>
        <v>44276</v>
      </c>
      <c r="Z46" s="179">
        <f>IF(T46&gt;0,S46,Y46)</f>
        <v>44275</v>
      </c>
      <c r="AA46" s="179">
        <f>IF(T46&gt;0,Y46,S46)</f>
        <v>44276</v>
      </c>
      <c r="AB46" s="48">
        <v>0</v>
      </c>
      <c r="AC46" s="179">
        <f>INT(Z46+AB46*(AA46-Z46))</f>
        <v>44275</v>
      </c>
      <c r="AD46" s="204">
        <f>IF(AND(AB46&lt;1,AC46&lt;$DC$7),0,1)</f>
        <v>0</v>
      </c>
      <c r="AE46" s="49"/>
      <c r="AF46" s="49"/>
      <c r="AG46" s="49"/>
      <c r="AH46" s="49"/>
      <c r="AI46" s="49"/>
      <c r="AJ46" s="224"/>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B46" s="9"/>
      <c r="JC46" s="9"/>
      <c r="JD46" s="9"/>
      <c r="JE46" s="9"/>
      <c r="JF46" s="9"/>
      <c r="JG46" s="9"/>
      <c r="JH46" s="9"/>
      <c r="JI46" s="9"/>
      <c r="JJ46" s="9"/>
      <c r="JK46" s="9"/>
      <c r="JL46" s="9"/>
      <c r="JM46" s="9"/>
      <c r="JN46" s="9"/>
      <c r="JO46" s="9"/>
      <c r="JP46" s="9"/>
      <c r="JQ46" s="9"/>
      <c r="JR46" s="9"/>
      <c r="JS46" s="9"/>
      <c r="JT46" s="9"/>
      <c r="JU46" s="9"/>
      <c r="JV46" s="9"/>
      <c r="JW46" s="9"/>
      <c r="JX46" s="9"/>
      <c r="JY46" s="9"/>
      <c r="JZ46" s="9"/>
      <c r="KA46" s="9"/>
      <c r="KB46" s="9"/>
      <c r="KC46" s="9"/>
      <c r="KD46" s="9"/>
      <c r="KE46" s="9"/>
      <c r="KF46" s="9"/>
      <c r="KG46" s="9"/>
      <c r="KH46" s="9"/>
      <c r="KI46" s="9"/>
      <c r="KJ46" s="9"/>
      <c r="KK46" s="9"/>
      <c r="KL46" s="9"/>
      <c r="KM46" s="9"/>
      <c r="KN46" s="9"/>
      <c r="KO46" s="9"/>
      <c r="KP46" s="9"/>
      <c r="KQ46" s="9"/>
      <c r="KR46" s="9"/>
      <c r="KS46" s="9"/>
      <c r="KT46" s="9"/>
      <c r="KU46" s="9"/>
      <c r="KV46" s="9"/>
      <c r="KW46" s="9"/>
      <c r="KX46" s="9"/>
      <c r="KY46" s="9"/>
      <c r="KZ46" s="9"/>
      <c r="LA46" s="9"/>
      <c r="LB46" s="9"/>
      <c r="LC46" s="9"/>
      <c r="LD46" s="9"/>
      <c r="LE46" s="9"/>
      <c r="LF46" s="9"/>
      <c r="LG46" s="9"/>
      <c r="LH46" s="9"/>
      <c r="LI46" s="9"/>
      <c r="LJ46" s="9"/>
      <c r="LK46" s="9"/>
      <c r="LL46" s="9"/>
      <c r="LM46" s="9"/>
      <c r="LN46" s="9"/>
      <c r="LO46" s="9"/>
      <c r="LP46" s="9"/>
      <c r="LQ46" s="9"/>
      <c r="LR46" s="9"/>
      <c r="LS46" s="9"/>
      <c r="LT46" s="9"/>
      <c r="LU46" s="9"/>
      <c r="LV46" s="9"/>
      <c r="LW46" s="9"/>
      <c r="LX46" s="9"/>
      <c r="LY46" s="9"/>
      <c r="LZ46" s="9"/>
      <c r="MA46" s="9"/>
      <c r="MB46" s="9"/>
      <c r="MC46" s="9"/>
      <c r="MD46" s="9"/>
      <c r="ME46" s="9"/>
      <c r="MF46" s="9"/>
      <c r="MG46" s="9"/>
      <c r="MH46" s="9"/>
      <c r="MI46" s="9"/>
      <c r="MJ46" s="9"/>
      <c r="MK46" s="9"/>
      <c r="ML46" s="9"/>
      <c r="MM46" s="9"/>
      <c r="MN46" s="9"/>
      <c r="MO46" s="9"/>
      <c r="MP46" s="9"/>
      <c r="MQ46" s="9"/>
      <c r="MR46" s="9"/>
      <c r="MS46" s="9"/>
      <c r="MT46" s="9"/>
      <c r="MU46" s="9"/>
      <c r="MV46" s="9"/>
      <c r="MW46" s="9"/>
      <c r="MX46" s="9"/>
      <c r="MY46" s="9"/>
      <c r="MZ46" s="9"/>
      <c r="NA46" s="9"/>
      <c r="NB46" s="9"/>
      <c r="NC46" s="9"/>
      <c r="ND46" s="9"/>
      <c r="NE46" s="9"/>
      <c r="NF46" s="9"/>
      <c r="NG46" s="9"/>
      <c r="NH46" s="9"/>
      <c r="NI46" s="9"/>
      <c r="NJ46" s="9"/>
      <c r="NK46" s="9"/>
      <c r="NL46" s="9"/>
      <c r="NM46" s="9"/>
      <c r="NN46" s="9"/>
      <c r="NO46" s="9"/>
      <c r="NP46" s="9"/>
      <c r="NQ46" s="9"/>
      <c r="NR46" s="9"/>
      <c r="NS46" s="9"/>
      <c r="NT46" s="9"/>
      <c r="NU46" s="9"/>
      <c r="NV46" s="9"/>
      <c r="NW46" s="9"/>
      <c r="NX46" s="9"/>
      <c r="NY46" s="9"/>
      <c r="NZ46" s="9"/>
      <c r="OA46" s="9"/>
      <c r="OB46" s="9"/>
      <c r="OC46" s="9"/>
      <c r="OD46" s="9"/>
      <c r="OE46" s="9"/>
      <c r="OF46" s="9"/>
      <c r="OG46" s="9"/>
      <c r="OH46" s="9"/>
      <c r="OI46" s="9"/>
      <c r="OJ46" s="9"/>
      <c r="OK46" s="9"/>
      <c r="OL46" s="9"/>
      <c r="OM46" s="9"/>
      <c r="ON46" s="9"/>
      <c r="OO46" s="9"/>
      <c r="OP46" s="9"/>
      <c r="OQ46" s="9"/>
      <c r="OR46" s="9"/>
      <c r="OS46" s="9"/>
      <c r="OT46" s="9"/>
      <c r="OU46" s="9"/>
      <c r="OV46" s="9"/>
      <c r="OW46" s="9"/>
      <c r="OX46" s="9"/>
      <c r="OY46" s="9"/>
      <c r="OZ46" s="9"/>
      <c r="PA46" s="9"/>
      <c r="PB46" s="9"/>
      <c r="PC46" s="9"/>
      <c r="PD46" s="9"/>
      <c r="PE46" s="9"/>
      <c r="PF46" s="9"/>
      <c r="PG46" s="9"/>
      <c r="PH46" s="9"/>
      <c r="PI46" s="9"/>
      <c r="PJ46" s="9"/>
      <c r="PK46" s="9"/>
      <c r="PL46" s="9"/>
      <c r="PM46" s="9"/>
      <c r="PN46" s="9"/>
      <c r="PO46" s="9"/>
      <c r="PP46" s="9"/>
      <c r="PQ46" s="9"/>
      <c r="PR46" s="9"/>
      <c r="PS46" s="9"/>
      <c r="PT46" s="9"/>
      <c r="PU46" s="9"/>
      <c r="PV46" s="9"/>
      <c r="PW46" s="9"/>
      <c r="PX46" s="9"/>
      <c r="PY46" s="9"/>
      <c r="PZ46" s="9"/>
      <c r="QA46" s="9"/>
      <c r="QB46" s="9"/>
      <c r="QC46" s="9"/>
      <c r="QD46" s="9"/>
      <c r="QE46" s="9"/>
      <c r="QF46" s="9"/>
      <c r="QG46" s="9"/>
      <c r="QH46" s="9"/>
      <c r="QI46" s="9"/>
      <c r="QJ46" s="9"/>
      <c r="QK46" s="9"/>
      <c r="QL46" s="9"/>
      <c r="QM46" s="9"/>
      <c r="QN46" s="9"/>
      <c r="QO46" s="9"/>
      <c r="QP46" s="9"/>
      <c r="QQ46" s="9"/>
      <c r="QR46" s="9"/>
      <c r="QS46" s="9"/>
      <c r="QT46" s="9"/>
      <c r="QU46" s="9"/>
      <c r="QV46" s="9"/>
      <c r="QW46" s="9"/>
      <c r="QX46" s="9"/>
      <c r="QY46" s="9"/>
      <c r="QZ46" s="9"/>
      <c r="RA46" s="9"/>
      <c r="RB46" s="9"/>
      <c r="RC46" s="9"/>
      <c r="RD46" s="9"/>
      <c r="RE46" s="9"/>
      <c r="RF46" s="9"/>
      <c r="RG46" s="9"/>
      <c r="RH46" s="9"/>
      <c r="RI46" s="9"/>
      <c r="RJ46" s="9"/>
      <c r="RK46" s="9"/>
      <c r="RL46" s="9"/>
      <c r="RM46" s="9"/>
      <c r="RN46" s="9"/>
      <c r="RO46" s="9"/>
      <c r="RP46" s="9"/>
      <c r="RQ46" s="9"/>
      <c r="RR46" s="9"/>
      <c r="RS46" s="9"/>
      <c r="RT46" s="9"/>
      <c r="RU46" s="9"/>
      <c r="RV46" s="9"/>
      <c r="RW46" s="9"/>
      <c r="RX46" s="9"/>
      <c r="RY46" s="9"/>
      <c r="RZ46" s="9"/>
      <c r="SA46" s="9"/>
      <c r="SB46" s="9"/>
      <c r="SC46" s="9"/>
      <c r="SD46" s="9"/>
      <c r="SE46" s="9"/>
      <c r="SF46" s="9"/>
      <c r="SG46" s="9"/>
      <c r="SH46" s="9"/>
      <c r="SI46" s="9"/>
      <c r="SJ46" s="9"/>
      <c r="SK46" s="9"/>
      <c r="SL46" s="9"/>
      <c r="SM46" s="9"/>
      <c r="SN46" s="9"/>
      <c r="SO46" s="9"/>
      <c r="SP46" s="9"/>
      <c r="SQ46" s="9"/>
      <c r="SR46" s="9"/>
      <c r="SS46" s="9"/>
      <c r="ST46" s="9"/>
      <c r="SU46" s="9"/>
      <c r="SV46" s="9"/>
      <c r="SW46" s="9"/>
      <c r="SX46" s="9"/>
      <c r="SY46" s="9"/>
      <c r="SZ46" s="9"/>
      <c r="TA46" s="9"/>
      <c r="TB46" s="9"/>
      <c r="TC46" s="9"/>
      <c r="TD46" s="9"/>
      <c r="TE46" s="9"/>
      <c r="TF46" s="9"/>
      <c r="TG46" s="9"/>
      <c r="TH46" s="9"/>
      <c r="TI46" s="9"/>
      <c r="TJ46" s="9"/>
      <c r="TK46" s="9"/>
      <c r="TL46" s="9"/>
      <c r="TM46" s="9"/>
      <c r="TN46" s="9"/>
      <c r="TO46" s="9"/>
      <c r="TP46" s="9"/>
      <c r="TQ46" s="9"/>
      <c r="TR46" s="9"/>
      <c r="TS46" s="9"/>
      <c r="TT46" s="9"/>
      <c r="TU46" s="9"/>
      <c r="TV46" s="9"/>
      <c r="TW46" s="9"/>
      <c r="TX46" s="9"/>
      <c r="TY46" s="9"/>
      <c r="TZ46" s="9"/>
      <c r="UA46" s="9"/>
      <c r="UB46" s="9"/>
      <c r="UC46" s="9"/>
      <c r="UD46" s="9"/>
      <c r="UE46" s="9"/>
      <c r="UF46" s="9"/>
      <c r="UG46" s="9"/>
      <c r="UH46" s="9"/>
      <c r="UI46" s="9"/>
      <c r="UJ46" s="9"/>
      <c r="UK46" s="9"/>
      <c r="UL46" s="9"/>
      <c r="UM46" s="9"/>
    </row>
    <row r="47" spans="1:559" s="133" customFormat="1" ht="11.25" customHeight="1">
      <c r="A47" s="50"/>
      <c r="B47" s="10"/>
      <c r="C47" s="10"/>
      <c r="D47" s="50"/>
      <c r="E47" s="50"/>
      <c r="F47" s="50"/>
      <c r="G47" s="50"/>
      <c r="H47" s="50"/>
      <c r="I47" s="50"/>
      <c r="J47" s="50"/>
      <c r="K47" s="277" t="s">
        <v>1728</v>
      </c>
      <c r="L47" s="46"/>
      <c r="M47" s="357" t="s">
        <v>1738</v>
      </c>
      <c r="N47" s="357"/>
      <c r="O47" s="357"/>
      <c r="P47" s="8"/>
      <c r="Q47" s="275" t="str">
        <f>IF(ISERROR(VLOOKUP(P47,Tools!$D$11:$J$57,7,FALSE)),"",VLOOKUP(P47,Tools!$D$11:$J$57,7,FALSE))</f>
        <v/>
      </c>
      <c r="R47" s="275">
        <v>2</v>
      </c>
      <c r="S47" s="216">
        <v>44276</v>
      </c>
      <c r="T47" s="8">
        <v>3</v>
      </c>
      <c r="U47" s="8" t="s">
        <v>998</v>
      </c>
      <c r="V47" s="275">
        <f>IF(U47=dur_type_d,T47,IF(U47=dur_type_w,IF(Work_D_Only_Bool,T47*5,T47*7),IF(U47=dur_type_m,IF(Work_D_Only_Bool,NETWORKDAYS.INTL(S47,DATE(YEAR(S47),MONTH(S47)+T47,DAY(S47)-1),WE_Days,Holiday_Days),DATE(YEAR(S47),MONTH(S47)+T47,DAY(S47))-S47),"ERROR")))</f>
        <v>3</v>
      </c>
      <c r="W47" s="49"/>
      <c r="X47" s="179">
        <f>IF(V47&gt;0,S47+V47-1,S47+V47+1)</f>
        <v>44278</v>
      </c>
      <c r="Y47" s="47">
        <f>IF(S47&lt;&gt;"",IF($GE$7,W47,X47),"")</f>
        <v>44278</v>
      </c>
      <c r="Z47" s="179">
        <f>IF(T47&gt;0,S47,Y47)</f>
        <v>44276</v>
      </c>
      <c r="AA47" s="179">
        <f>IF(T47&gt;0,Y47,S47)</f>
        <v>44278</v>
      </c>
      <c r="AB47" s="48">
        <v>0</v>
      </c>
      <c r="AC47" s="179">
        <f>INT(Z47+AB47*(AA47-Z47))</f>
        <v>44276</v>
      </c>
      <c r="AD47" s="204">
        <f>IF(AND(AB47&lt;1,AC47&lt;$DC$7),0,1)</f>
        <v>0</v>
      </c>
      <c r="AE47" s="49"/>
      <c r="AF47" s="49"/>
      <c r="AG47" s="49"/>
      <c r="AH47" s="49"/>
      <c r="AI47" s="49"/>
      <c r="AJ47" s="224"/>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B47" s="9"/>
      <c r="JC47" s="9"/>
      <c r="JD47" s="9"/>
      <c r="JE47" s="9"/>
      <c r="JF47" s="9"/>
      <c r="JG47" s="9"/>
      <c r="JH47" s="9"/>
      <c r="JI47" s="9"/>
      <c r="JJ47" s="9"/>
      <c r="JK47" s="9"/>
      <c r="JL47" s="9"/>
      <c r="JM47" s="9"/>
      <c r="JN47" s="9"/>
      <c r="JO47" s="9"/>
      <c r="JP47" s="9"/>
      <c r="JQ47" s="9"/>
      <c r="JR47" s="9"/>
      <c r="JS47" s="9"/>
      <c r="JT47" s="9"/>
      <c r="JU47" s="9"/>
      <c r="JV47" s="9"/>
      <c r="JW47" s="9"/>
      <c r="JX47" s="9"/>
      <c r="JY47" s="9"/>
      <c r="JZ47" s="9"/>
      <c r="KA47" s="9"/>
      <c r="KB47" s="9"/>
      <c r="KC47" s="9"/>
      <c r="KD47" s="9"/>
      <c r="KE47" s="9"/>
      <c r="KF47" s="9"/>
      <c r="KG47" s="9"/>
      <c r="KH47" s="9"/>
      <c r="KI47" s="9"/>
      <c r="KJ47" s="9"/>
      <c r="KK47" s="9"/>
      <c r="KL47" s="9"/>
      <c r="KM47" s="9"/>
      <c r="KN47" s="9"/>
      <c r="KO47" s="9"/>
      <c r="KP47" s="9"/>
      <c r="KQ47" s="9"/>
      <c r="KR47" s="9"/>
      <c r="KS47" s="9"/>
      <c r="KT47" s="9"/>
      <c r="KU47" s="9"/>
      <c r="KV47" s="9"/>
      <c r="KW47" s="9"/>
      <c r="KX47" s="9"/>
      <c r="KY47" s="9"/>
      <c r="KZ47" s="9"/>
      <c r="LA47" s="9"/>
      <c r="LB47" s="9"/>
      <c r="LC47" s="9"/>
      <c r="LD47" s="9"/>
      <c r="LE47" s="9"/>
      <c r="LF47" s="9"/>
      <c r="LG47" s="9"/>
      <c r="LH47" s="9"/>
      <c r="LI47" s="9"/>
      <c r="LJ47" s="9"/>
      <c r="LK47" s="9"/>
      <c r="LL47" s="9"/>
      <c r="LM47" s="9"/>
      <c r="LN47" s="9"/>
      <c r="LO47" s="9"/>
      <c r="LP47" s="9"/>
      <c r="LQ47" s="9"/>
      <c r="LR47" s="9"/>
      <c r="LS47" s="9"/>
      <c r="LT47" s="9"/>
      <c r="LU47" s="9"/>
      <c r="LV47" s="9"/>
      <c r="LW47" s="9"/>
      <c r="LX47" s="9"/>
      <c r="LY47" s="9"/>
      <c r="LZ47" s="9"/>
      <c r="MA47" s="9"/>
      <c r="MB47" s="9"/>
      <c r="MC47" s="9"/>
      <c r="MD47" s="9"/>
      <c r="ME47" s="9"/>
      <c r="MF47" s="9"/>
      <c r="MG47" s="9"/>
      <c r="MH47" s="9"/>
      <c r="MI47" s="9"/>
      <c r="MJ47" s="9"/>
      <c r="MK47" s="9"/>
      <c r="ML47" s="9"/>
      <c r="MM47" s="9"/>
      <c r="MN47" s="9"/>
      <c r="MO47" s="9"/>
      <c r="MP47" s="9"/>
      <c r="MQ47" s="9"/>
      <c r="MR47" s="9"/>
      <c r="MS47" s="9"/>
      <c r="MT47" s="9"/>
      <c r="MU47" s="9"/>
      <c r="MV47" s="9"/>
      <c r="MW47" s="9"/>
      <c r="MX47" s="9"/>
      <c r="MY47" s="9"/>
      <c r="MZ47" s="9"/>
      <c r="NA47" s="9"/>
      <c r="NB47" s="9"/>
      <c r="NC47" s="9"/>
      <c r="ND47" s="9"/>
      <c r="NE47" s="9"/>
      <c r="NF47" s="9"/>
      <c r="NG47" s="9"/>
      <c r="NH47" s="9"/>
      <c r="NI47" s="9"/>
      <c r="NJ47" s="9"/>
      <c r="NK47" s="9"/>
      <c r="NL47" s="9"/>
      <c r="NM47" s="9"/>
      <c r="NN47" s="9"/>
      <c r="NO47" s="9"/>
      <c r="NP47" s="9"/>
      <c r="NQ47" s="9"/>
      <c r="NR47" s="9"/>
      <c r="NS47" s="9"/>
      <c r="NT47" s="9"/>
      <c r="NU47" s="9"/>
      <c r="NV47" s="9"/>
      <c r="NW47" s="9"/>
      <c r="NX47" s="9"/>
      <c r="NY47" s="9"/>
      <c r="NZ47" s="9"/>
      <c r="OA47" s="9"/>
      <c r="OB47" s="9"/>
      <c r="OC47" s="9"/>
      <c r="OD47" s="9"/>
      <c r="OE47" s="9"/>
      <c r="OF47" s="9"/>
      <c r="OG47" s="9"/>
      <c r="OH47" s="9"/>
      <c r="OI47" s="9"/>
      <c r="OJ47" s="9"/>
      <c r="OK47" s="9"/>
      <c r="OL47" s="9"/>
      <c r="OM47" s="9"/>
      <c r="ON47" s="9"/>
      <c r="OO47" s="9"/>
      <c r="OP47" s="9"/>
      <c r="OQ47" s="9"/>
      <c r="OR47" s="9"/>
      <c r="OS47" s="9"/>
      <c r="OT47" s="9"/>
      <c r="OU47" s="9"/>
      <c r="OV47" s="9"/>
      <c r="OW47" s="9"/>
      <c r="OX47" s="9"/>
      <c r="OY47" s="9"/>
      <c r="OZ47" s="9"/>
      <c r="PA47" s="9"/>
      <c r="PB47" s="9"/>
      <c r="PC47" s="9"/>
      <c r="PD47" s="9"/>
      <c r="PE47" s="9"/>
      <c r="PF47" s="9"/>
      <c r="PG47" s="9"/>
      <c r="PH47" s="9"/>
      <c r="PI47" s="9"/>
      <c r="PJ47" s="9"/>
      <c r="PK47" s="9"/>
      <c r="PL47" s="9"/>
      <c r="PM47" s="9"/>
      <c r="PN47" s="9"/>
      <c r="PO47" s="9"/>
      <c r="PP47" s="9"/>
      <c r="PQ47" s="9"/>
      <c r="PR47" s="9"/>
      <c r="PS47" s="9"/>
      <c r="PT47" s="9"/>
      <c r="PU47" s="9"/>
      <c r="PV47" s="9"/>
      <c r="PW47" s="9"/>
      <c r="PX47" s="9"/>
      <c r="PY47" s="9"/>
      <c r="PZ47" s="9"/>
      <c r="QA47" s="9"/>
      <c r="QB47" s="9"/>
      <c r="QC47" s="9"/>
      <c r="QD47" s="9"/>
      <c r="QE47" s="9"/>
      <c r="QF47" s="9"/>
      <c r="QG47" s="9"/>
      <c r="QH47" s="9"/>
      <c r="QI47" s="9"/>
      <c r="QJ47" s="9"/>
      <c r="QK47" s="9"/>
      <c r="QL47" s="9"/>
      <c r="QM47" s="9"/>
      <c r="QN47" s="9"/>
      <c r="QO47" s="9"/>
      <c r="QP47" s="9"/>
      <c r="QQ47" s="9"/>
      <c r="QR47" s="9"/>
      <c r="QS47" s="9"/>
      <c r="QT47" s="9"/>
      <c r="QU47" s="9"/>
      <c r="QV47" s="9"/>
      <c r="QW47" s="9"/>
      <c r="QX47" s="9"/>
      <c r="QY47" s="9"/>
      <c r="QZ47" s="9"/>
      <c r="RA47" s="9"/>
      <c r="RB47" s="9"/>
      <c r="RC47" s="9"/>
      <c r="RD47" s="9"/>
      <c r="RE47" s="9"/>
      <c r="RF47" s="9"/>
      <c r="RG47" s="9"/>
      <c r="RH47" s="9"/>
      <c r="RI47" s="9"/>
      <c r="RJ47" s="9"/>
      <c r="RK47" s="9"/>
      <c r="RL47" s="9"/>
      <c r="RM47" s="9"/>
      <c r="RN47" s="9"/>
      <c r="RO47" s="9"/>
      <c r="RP47" s="9"/>
      <c r="RQ47" s="9"/>
      <c r="RR47" s="9"/>
      <c r="RS47" s="9"/>
      <c r="RT47" s="9"/>
      <c r="RU47" s="9"/>
      <c r="RV47" s="9"/>
      <c r="RW47" s="9"/>
      <c r="RX47" s="9"/>
      <c r="RY47" s="9"/>
      <c r="RZ47" s="9"/>
      <c r="SA47" s="9"/>
      <c r="SB47" s="9"/>
      <c r="SC47" s="9"/>
      <c r="SD47" s="9"/>
      <c r="SE47" s="9"/>
      <c r="SF47" s="9"/>
      <c r="SG47" s="9"/>
      <c r="SH47" s="9"/>
      <c r="SI47" s="9"/>
      <c r="SJ47" s="9"/>
      <c r="SK47" s="9"/>
      <c r="SL47" s="9"/>
      <c r="SM47" s="9"/>
      <c r="SN47" s="9"/>
      <c r="SO47" s="9"/>
      <c r="SP47" s="9"/>
      <c r="SQ47" s="9"/>
      <c r="SR47" s="9"/>
      <c r="SS47" s="9"/>
      <c r="ST47" s="9"/>
      <c r="SU47" s="9"/>
      <c r="SV47" s="9"/>
      <c r="SW47" s="9"/>
      <c r="SX47" s="9"/>
      <c r="SY47" s="9"/>
      <c r="SZ47" s="9"/>
      <c r="TA47" s="9"/>
      <c r="TB47" s="9"/>
      <c r="TC47" s="9"/>
      <c r="TD47" s="9"/>
      <c r="TE47" s="9"/>
      <c r="TF47" s="9"/>
      <c r="TG47" s="9"/>
      <c r="TH47" s="9"/>
      <c r="TI47" s="9"/>
      <c r="TJ47" s="9"/>
      <c r="TK47" s="9"/>
      <c r="TL47" s="9"/>
      <c r="TM47" s="9"/>
      <c r="TN47" s="9"/>
      <c r="TO47" s="9"/>
      <c r="TP47" s="9"/>
      <c r="TQ47" s="9"/>
      <c r="TR47" s="9"/>
      <c r="TS47" s="9"/>
      <c r="TT47" s="9"/>
      <c r="TU47" s="9"/>
      <c r="TV47" s="9"/>
      <c r="TW47" s="9"/>
      <c r="TX47" s="9"/>
      <c r="TY47" s="9"/>
      <c r="TZ47" s="9"/>
      <c r="UA47" s="9"/>
      <c r="UB47" s="9"/>
      <c r="UC47" s="9"/>
      <c r="UD47" s="9"/>
      <c r="UE47" s="9"/>
      <c r="UF47" s="9"/>
      <c r="UG47" s="9"/>
      <c r="UH47" s="9"/>
      <c r="UI47" s="9"/>
      <c r="UJ47" s="9"/>
      <c r="UK47" s="9"/>
      <c r="UL47" s="9"/>
      <c r="UM47" s="9"/>
    </row>
    <row r="48" spans="1:559" s="133" customFormat="1" ht="11.25" customHeight="1">
      <c r="A48" s="50"/>
      <c r="B48" s="10"/>
      <c r="C48" s="10"/>
      <c r="D48" s="50"/>
      <c r="E48" s="50"/>
      <c r="F48" s="50"/>
      <c r="G48" s="50"/>
      <c r="H48" s="50"/>
      <c r="I48" s="50"/>
      <c r="J48" s="50"/>
      <c r="K48" s="277" t="s">
        <v>1729</v>
      </c>
      <c r="L48" s="46"/>
      <c r="M48" s="357" t="s">
        <v>1739</v>
      </c>
      <c r="N48" s="357"/>
      <c r="O48" s="357"/>
      <c r="P48" s="8"/>
      <c r="Q48" s="275" t="str">
        <f>IF(ISERROR(VLOOKUP(P48,Tools!$D$11:$J$57,7,FALSE)),"",VLOOKUP(P48,Tools!$D$11:$J$57,7,FALSE))</f>
        <v/>
      </c>
      <c r="R48" s="275">
        <v>2</v>
      </c>
      <c r="S48" s="216">
        <v>44278</v>
      </c>
      <c r="T48" s="8">
        <v>3</v>
      </c>
      <c r="U48" s="8" t="s">
        <v>998</v>
      </c>
      <c r="V48" s="275">
        <f>IF(U48=dur_type_d,T48,IF(U48=dur_type_w,IF(Work_D_Only_Bool,T48*5,T48*7),IF(U48=dur_type_m,IF(Work_D_Only_Bool,NETWORKDAYS.INTL(S48,DATE(YEAR(S48),MONTH(S48)+T48,DAY(S48)-1),WE_Days,Holiday_Days),DATE(YEAR(S48),MONTH(S48)+T48,DAY(S48))-S48),"ERROR")))</f>
        <v>3</v>
      </c>
      <c r="W48" s="49"/>
      <c r="X48" s="179">
        <f>IF(V48&gt;0,S48+V48-1,S48+V48+1)</f>
        <v>44280</v>
      </c>
      <c r="Y48" s="47">
        <f>IF(S48&lt;&gt;"",IF($GE$7,W48,X48),"")</f>
        <v>44280</v>
      </c>
      <c r="Z48" s="179">
        <f>IF(T48&gt;0,S48,Y48)</f>
        <v>44278</v>
      </c>
      <c r="AA48" s="179">
        <f>IF(T48&gt;0,Y48,S48)</f>
        <v>44280</v>
      </c>
      <c r="AB48" s="48">
        <v>0</v>
      </c>
      <c r="AC48" s="179">
        <f>INT(Z48+AB48*(AA48-Z48))</f>
        <v>44278</v>
      </c>
      <c r="AD48" s="204">
        <f>IF(AND(AB48&lt;1,AC48&lt;$DC$7),0,1)</f>
        <v>0</v>
      </c>
      <c r="AE48" s="49"/>
      <c r="AF48" s="49"/>
      <c r="AG48" s="49"/>
      <c r="AH48" s="49"/>
      <c r="AI48" s="49"/>
      <c r="AJ48" s="224"/>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B48" s="9"/>
      <c r="JC48" s="9"/>
      <c r="JD48" s="9"/>
      <c r="JE48" s="9"/>
      <c r="JF48" s="9"/>
      <c r="JG48" s="9"/>
      <c r="JH48" s="9"/>
      <c r="JI48" s="9"/>
      <c r="JJ48" s="9"/>
      <c r="JK48" s="9"/>
      <c r="JL48" s="9"/>
      <c r="JM48" s="9"/>
      <c r="JN48" s="9"/>
      <c r="JO48" s="9"/>
      <c r="JP48" s="9"/>
      <c r="JQ48" s="9"/>
      <c r="JR48" s="9"/>
      <c r="JS48" s="9"/>
      <c r="JT48" s="9"/>
      <c r="JU48" s="9"/>
      <c r="JV48" s="9"/>
      <c r="JW48" s="9"/>
      <c r="JX48" s="9"/>
      <c r="JY48" s="9"/>
      <c r="JZ48" s="9"/>
      <c r="KA48" s="9"/>
      <c r="KB48" s="9"/>
      <c r="KC48" s="9"/>
      <c r="KD48" s="9"/>
      <c r="KE48" s="9"/>
      <c r="KF48" s="9"/>
      <c r="KG48" s="9"/>
      <c r="KH48" s="9"/>
      <c r="KI48" s="9"/>
      <c r="KJ48" s="9"/>
      <c r="KK48" s="9"/>
      <c r="KL48" s="9"/>
      <c r="KM48" s="9"/>
      <c r="KN48" s="9"/>
      <c r="KO48" s="9"/>
      <c r="KP48" s="9"/>
      <c r="KQ48" s="9"/>
      <c r="KR48" s="9"/>
      <c r="KS48" s="9"/>
      <c r="KT48" s="9"/>
      <c r="KU48" s="9"/>
      <c r="KV48" s="9"/>
      <c r="KW48" s="9"/>
      <c r="KX48" s="9"/>
      <c r="KY48" s="9"/>
      <c r="KZ48" s="9"/>
      <c r="LA48" s="9"/>
      <c r="LB48" s="9"/>
      <c r="LC48" s="9"/>
      <c r="LD48" s="9"/>
      <c r="LE48" s="9"/>
      <c r="LF48" s="9"/>
      <c r="LG48" s="9"/>
      <c r="LH48" s="9"/>
      <c r="LI48" s="9"/>
      <c r="LJ48" s="9"/>
      <c r="LK48" s="9"/>
      <c r="LL48" s="9"/>
      <c r="LM48" s="9"/>
      <c r="LN48" s="9"/>
      <c r="LO48" s="9"/>
      <c r="LP48" s="9"/>
      <c r="LQ48" s="9"/>
      <c r="LR48" s="9"/>
      <c r="LS48" s="9"/>
      <c r="LT48" s="9"/>
      <c r="LU48" s="9"/>
      <c r="LV48" s="9"/>
      <c r="LW48" s="9"/>
      <c r="LX48" s="9"/>
      <c r="LY48" s="9"/>
      <c r="LZ48" s="9"/>
      <c r="MA48" s="9"/>
      <c r="MB48" s="9"/>
      <c r="MC48" s="9"/>
      <c r="MD48" s="9"/>
      <c r="ME48" s="9"/>
      <c r="MF48" s="9"/>
      <c r="MG48" s="9"/>
      <c r="MH48" s="9"/>
      <c r="MI48" s="9"/>
      <c r="MJ48" s="9"/>
      <c r="MK48" s="9"/>
      <c r="ML48" s="9"/>
      <c r="MM48" s="9"/>
      <c r="MN48" s="9"/>
      <c r="MO48" s="9"/>
      <c r="MP48" s="9"/>
      <c r="MQ48" s="9"/>
      <c r="MR48" s="9"/>
      <c r="MS48" s="9"/>
      <c r="MT48" s="9"/>
      <c r="MU48" s="9"/>
      <c r="MV48" s="9"/>
      <c r="MW48" s="9"/>
      <c r="MX48" s="9"/>
      <c r="MY48" s="9"/>
      <c r="MZ48" s="9"/>
      <c r="NA48" s="9"/>
      <c r="NB48" s="9"/>
      <c r="NC48" s="9"/>
      <c r="ND48" s="9"/>
      <c r="NE48" s="9"/>
      <c r="NF48" s="9"/>
      <c r="NG48" s="9"/>
      <c r="NH48" s="9"/>
      <c r="NI48" s="9"/>
      <c r="NJ48" s="9"/>
      <c r="NK48" s="9"/>
      <c r="NL48" s="9"/>
      <c r="NM48" s="9"/>
      <c r="NN48" s="9"/>
      <c r="NO48" s="9"/>
      <c r="NP48" s="9"/>
      <c r="NQ48" s="9"/>
      <c r="NR48" s="9"/>
      <c r="NS48" s="9"/>
      <c r="NT48" s="9"/>
      <c r="NU48" s="9"/>
      <c r="NV48" s="9"/>
      <c r="NW48" s="9"/>
      <c r="NX48" s="9"/>
      <c r="NY48" s="9"/>
      <c r="NZ48" s="9"/>
      <c r="OA48" s="9"/>
      <c r="OB48" s="9"/>
      <c r="OC48" s="9"/>
      <c r="OD48" s="9"/>
      <c r="OE48" s="9"/>
      <c r="OF48" s="9"/>
      <c r="OG48" s="9"/>
      <c r="OH48" s="9"/>
      <c r="OI48" s="9"/>
      <c r="OJ48" s="9"/>
      <c r="OK48" s="9"/>
      <c r="OL48" s="9"/>
      <c r="OM48" s="9"/>
      <c r="ON48" s="9"/>
      <c r="OO48" s="9"/>
      <c r="OP48" s="9"/>
      <c r="OQ48" s="9"/>
      <c r="OR48" s="9"/>
      <c r="OS48" s="9"/>
      <c r="OT48" s="9"/>
      <c r="OU48" s="9"/>
      <c r="OV48" s="9"/>
      <c r="OW48" s="9"/>
      <c r="OX48" s="9"/>
      <c r="OY48" s="9"/>
      <c r="OZ48" s="9"/>
      <c r="PA48" s="9"/>
      <c r="PB48" s="9"/>
      <c r="PC48" s="9"/>
      <c r="PD48" s="9"/>
      <c r="PE48" s="9"/>
      <c r="PF48" s="9"/>
      <c r="PG48" s="9"/>
      <c r="PH48" s="9"/>
      <c r="PI48" s="9"/>
      <c r="PJ48" s="9"/>
      <c r="PK48" s="9"/>
      <c r="PL48" s="9"/>
      <c r="PM48" s="9"/>
      <c r="PN48" s="9"/>
      <c r="PO48" s="9"/>
      <c r="PP48" s="9"/>
      <c r="PQ48" s="9"/>
      <c r="PR48" s="9"/>
      <c r="PS48" s="9"/>
      <c r="PT48" s="9"/>
      <c r="PU48" s="9"/>
      <c r="PV48" s="9"/>
      <c r="PW48" s="9"/>
      <c r="PX48" s="9"/>
      <c r="PY48" s="9"/>
      <c r="PZ48" s="9"/>
      <c r="QA48" s="9"/>
      <c r="QB48" s="9"/>
      <c r="QC48" s="9"/>
      <c r="QD48" s="9"/>
      <c r="QE48" s="9"/>
      <c r="QF48" s="9"/>
      <c r="QG48" s="9"/>
      <c r="QH48" s="9"/>
      <c r="QI48" s="9"/>
      <c r="QJ48" s="9"/>
      <c r="QK48" s="9"/>
      <c r="QL48" s="9"/>
      <c r="QM48" s="9"/>
      <c r="QN48" s="9"/>
      <c r="QO48" s="9"/>
      <c r="QP48" s="9"/>
      <c r="QQ48" s="9"/>
      <c r="QR48" s="9"/>
      <c r="QS48" s="9"/>
      <c r="QT48" s="9"/>
      <c r="QU48" s="9"/>
      <c r="QV48" s="9"/>
      <c r="QW48" s="9"/>
      <c r="QX48" s="9"/>
      <c r="QY48" s="9"/>
      <c r="QZ48" s="9"/>
      <c r="RA48" s="9"/>
      <c r="RB48" s="9"/>
      <c r="RC48" s="9"/>
      <c r="RD48" s="9"/>
      <c r="RE48" s="9"/>
      <c r="RF48" s="9"/>
      <c r="RG48" s="9"/>
      <c r="RH48" s="9"/>
      <c r="RI48" s="9"/>
      <c r="RJ48" s="9"/>
      <c r="RK48" s="9"/>
      <c r="RL48" s="9"/>
      <c r="RM48" s="9"/>
      <c r="RN48" s="9"/>
      <c r="RO48" s="9"/>
      <c r="RP48" s="9"/>
      <c r="RQ48" s="9"/>
      <c r="RR48" s="9"/>
      <c r="RS48" s="9"/>
      <c r="RT48" s="9"/>
      <c r="RU48" s="9"/>
      <c r="RV48" s="9"/>
      <c r="RW48" s="9"/>
      <c r="RX48" s="9"/>
      <c r="RY48" s="9"/>
      <c r="RZ48" s="9"/>
      <c r="SA48" s="9"/>
      <c r="SB48" s="9"/>
      <c r="SC48" s="9"/>
      <c r="SD48" s="9"/>
      <c r="SE48" s="9"/>
      <c r="SF48" s="9"/>
      <c r="SG48" s="9"/>
      <c r="SH48" s="9"/>
      <c r="SI48" s="9"/>
      <c r="SJ48" s="9"/>
      <c r="SK48" s="9"/>
      <c r="SL48" s="9"/>
      <c r="SM48" s="9"/>
      <c r="SN48" s="9"/>
      <c r="SO48" s="9"/>
      <c r="SP48" s="9"/>
      <c r="SQ48" s="9"/>
      <c r="SR48" s="9"/>
      <c r="SS48" s="9"/>
      <c r="ST48" s="9"/>
      <c r="SU48" s="9"/>
      <c r="SV48" s="9"/>
      <c r="SW48" s="9"/>
      <c r="SX48" s="9"/>
      <c r="SY48" s="9"/>
      <c r="SZ48" s="9"/>
      <c r="TA48" s="9"/>
      <c r="TB48" s="9"/>
      <c r="TC48" s="9"/>
      <c r="TD48" s="9"/>
      <c r="TE48" s="9"/>
      <c r="TF48" s="9"/>
      <c r="TG48" s="9"/>
      <c r="TH48" s="9"/>
      <c r="TI48" s="9"/>
      <c r="TJ48" s="9"/>
      <c r="TK48" s="9"/>
      <c r="TL48" s="9"/>
      <c r="TM48" s="9"/>
      <c r="TN48" s="9"/>
      <c r="TO48" s="9"/>
      <c r="TP48" s="9"/>
      <c r="TQ48" s="9"/>
      <c r="TR48" s="9"/>
      <c r="TS48" s="9"/>
      <c r="TT48" s="9"/>
      <c r="TU48" s="9"/>
      <c r="TV48" s="9"/>
      <c r="TW48" s="9"/>
      <c r="TX48" s="9"/>
      <c r="TY48" s="9"/>
      <c r="TZ48" s="9"/>
      <c r="UA48" s="9"/>
      <c r="UB48" s="9"/>
      <c r="UC48" s="9"/>
      <c r="UD48" s="9"/>
      <c r="UE48" s="9"/>
      <c r="UF48" s="9"/>
      <c r="UG48" s="9"/>
      <c r="UH48" s="9"/>
      <c r="UI48" s="9"/>
      <c r="UJ48" s="9"/>
      <c r="UK48" s="9"/>
      <c r="UL48" s="9"/>
      <c r="UM48" s="9"/>
    </row>
    <row r="49" spans="1:559" s="133" customFormat="1" ht="11.25" customHeight="1">
      <c r="A49" s="50"/>
      <c r="B49" s="10"/>
      <c r="C49" s="10"/>
      <c r="D49" s="50"/>
      <c r="E49" s="50"/>
      <c r="F49" s="50"/>
      <c r="G49" s="50"/>
      <c r="H49" s="50"/>
      <c r="I49" s="50"/>
      <c r="J49" s="50"/>
      <c r="K49" s="277" t="s">
        <v>1730</v>
      </c>
      <c r="L49" s="46"/>
      <c r="M49" s="357" t="s">
        <v>1740</v>
      </c>
      <c r="N49" s="357"/>
      <c r="O49" s="357"/>
      <c r="P49" s="8"/>
      <c r="Q49" s="275" t="str">
        <f>IF(ISERROR(VLOOKUP(P49,Tools!$D$11:$J$57,7,FALSE)),"",VLOOKUP(P49,Tools!$D$11:$J$57,7,FALSE))</f>
        <v/>
      </c>
      <c r="R49" s="275">
        <v>2</v>
      </c>
      <c r="S49" s="216">
        <v>44280</v>
      </c>
      <c r="T49" s="8">
        <v>3</v>
      </c>
      <c r="U49" s="8" t="s">
        <v>998</v>
      </c>
      <c r="V49" s="275">
        <f>IF(U49=dur_type_d,T49,IF(U49=dur_type_w,IF(Work_D_Only_Bool,T49*5,T49*7),IF(U49=dur_type_m,IF(Work_D_Only_Bool,NETWORKDAYS.INTL(S49,DATE(YEAR(S49),MONTH(S49)+T49,DAY(S49)-1),WE_Days,Holiday_Days),DATE(YEAR(S49),MONTH(S49)+T49,DAY(S49))-S49),"ERROR")))</f>
        <v>3</v>
      </c>
      <c r="W49" s="49"/>
      <c r="X49" s="179">
        <f>IF(V49&gt;0,S49+V49-1,S49+V49+1)</f>
        <v>44282</v>
      </c>
      <c r="Y49" s="47">
        <f>IF(S49&lt;&gt;"",IF($GE$7,W49,X49),"")</f>
        <v>44282</v>
      </c>
      <c r="Z49" s="179">
        <f>IF(T49&gt;0,S49,Y49)</f>
        <v>44280</v>
      </c>
      <c r="AA49" s="179">
        <f>IF(T49&gt;0,Y49,S49)</f>
        <v>44282</v>
      </c>
      <c r="AB49" s="48">
        <v>0</v>
      </c>
      <c r="AC49" s="179">
        <f>INT(Z49+AB49*(AA49-Z49))</f>
        <v>44280</v>
      </c>
      <c r="AD49" s="204">
        <f>IF(AND(AB49&lt;1,AC49&lt;$DC$7),0,1)</f>
        <v>0</v>
      </c>
      <c r="AE49" s="49"/>
      <c r="AF49" s="49"/>
      <c r="AG49" s="49"/>
      <c r="AH49" s="49"/>
      <c r="AI49" s="49"/>
      <c r="AJ49" s="224"/>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c r="FN49" s="9"/>
      <c r="FO49" s="9"/>
      <c r="FP49" s="9"/>
      <c r="FQ49" s="9"/>
      <c r="FR49" s="9"/>
      <c r="FS49" s="9"/>
      <c r="FT49" s="9"/>
      <c r="FU49" s="9"/>
      <c r="FV49" s="9"/>
      <c r="FW49" s="9"/>
      <c r="FX49" s="9"/>
      <c r="FY49" s="9"/>
      <c r="FZ49" s="9"/>
      <c r="GA49" s="9"/>
      <c r="GB49" s="9"/>
      <c r="GC49" s="9"/>
      <c r="GD49" s="9"/>
      <c r="GE49" s="9"/>
      <c r="GF49" s="9"/>
      <c r="GG49" s="9"/>
      <c r="GH49" s="9"/>
      <c r="GI49" s="9"/>
      <c r="GJ49" s="9"/>
      <c r="GK49" s="9"/>
      <c r="GL49" s="9"/>
      <c r="GM49" s="9"/>
      <c r="GN49" s="9"/>
      <c r="GO49" s="9"/>
      <c r="GP49" s="9"/>
      <c r="GQ49" s="9"/>
      <c r="GR49" s="9"/>
      <c r="GS49" s="9"/>
      <c r="GT49" s="9"/>
      <c r="GU49" s="9"/>
      <c r="GV49" s="9"/>
      <c r="GW49" s="9"/>
      <c r="GX49" s="9"/>
      <c r="GY49" s="9"/>
      <c r="GZ49" s="9"/>
      <c r="HA49" s="9"/>
      <c r="HB49" s="9"/>
      <c r="HC49" s="9"/>
      <c r="HD49" s="9"/>
      <c r="HE49" s="9"/>
      <c r="HF49" s="9"/>
      <c r="HG49" s="9"/>
      <c r="HH49" s="9"/>
      <c r="HI49" s="9"/>
      <c r="HJ49" s="9"/>
      <c r="HK49" s="9"/>
      <c r="HL49" s="9"/>
      <c r="HM49" s="9"/>
      <c r="HN49" s="9"/>
      <c r="HO49" s="9"/>
      <c r="HP49" s="9"/>
      <c r="HQ49" s="9"/>
      <c r="HR49" s="9"/>
      <c r="HS49" s="9"/>
      <c r="HT49" s="9"/>
      <c r="HU49" s="9"/>
      <c r="HV49" s="9"/>
      <c r="HW49" s="9"/>
      <c r="HX49" s="9"/>
      <c r="HY49" s="9"/>
      <c r="HZ49" s="9"/>
      <c r="IA49" s="9"/>
      <c r="IB49" s="9"/>
      <c r="IC49" s="9"/>
      <c r="ID49" s="9"/>
      <c r="IE49" s="9"/>
      <c r="IF49" s="9"/>
      <c r="IG49" s="9"/>
      <c r="IH49" s="9"/>
      <c r="II49" s="9"/>
      <c r="IJ49" s="9"/>
      <c r="IK49" s="9"/>
      <c r="IL49" s="9"/>
      <c r="IM49" s="9"/>
      <c r="IN49" s="9"/>
      <c r="IO49" s="9"/>
      <c r="IP49" s="9"/>
      <c r="IQ49" s="9"/>
      <c r="IR49" s="9"/>
      <c r="IS49" s="9"/>
      <c r="IT49" s="9"/>
      <c r="IU49" s="9"/>
      <c r="IV49" s="9"/>
      <c r="IW49" s="9"/>
      <c r="IX49" s="9"/>
      <c r="IY49" s="9"/>
      <c r="IZ49" s="9"/>
      <c r="JA49" s="9"/>
      <c r="JB49" s="9"/>
      <c r="JC49" s="9"/>
      <c r="JD49" s="9"/>
      <c r="JE49" s="9"/>
      <c r="JF49" s="9"/>
      <c r="JG49" s="9"/>
      <c r="JH49" s="9"/>
      <c r="JI49" s="9"/>
      <c r="JJ49" s="9"/>
      <c r="JK49" s="9"/>
      <c r="JL49" s="9"/>
      <c r="JM49" s="9"/>
      <c r="JN49" s="9"/>
      <c r="JO49" s="9"/>
      <c r="JP49" s="9"/>
      <c r="JQ49" s="9"/>
      <c r="JR49" s="9"/>
      <c r="JS49" s="9"/>
      <c r="JT49" s="9"/>
      <c r="JU49" s="9"/>
      <c r="JV49" s="9"/>
      <c r="JW49" s="9"/>
      <c r="JX49" s="9"/>
      <c r="JY49" s="9"/>
      <c r="JZ49" s="9"/>
      <c r="KA49" s="9"/>
      <c r="KB49" s="9"/>
      <c r="KC49" s="9"/>
      <c r="KD49" s="9"/>
      <c r="KE49" s="9"/>
      <c r="KF49" s="9"/>
      <c r="KG49" s="9"/>
      <c r="KH49" s="9"/>
      <c r="KI49" s="9"/>
      <c r="KJ49" s="9"/>
      <c r="KK49" s="9"/>
      <c r="KL49" s="9"/>
      <c r="KM49" s="9"/>
      <c r="KN49" s="9"/>
      <c r="KO49" s="9"/>
      <c r="KP49" s="9"/>
      <c r="KQ49" s="9"/>
      <c r="KR49" s="9"/>
      <c r="KS49" s="9"/>
      <c r="KT49" s="9"/>
      <c r="KU49" s="9"/>
      <c r="KV49" s="9"/>
      <c r="KW49" s="9"/>
      <c r="KX49" s="9"/>
      <c r="KY49" s="9"/>
      <c r="KZ49" s="9"/>
      <c r="LA49" s="9"/>
      <c r="LB49" s="9"/>
      <c r="LC49" s="9"/>
      <c r="LD49" s="9"/>
      <c r="LE49" s="9"/>
      <c r="LF49" s="9"/>
      <c r="LG49" s="9"/>
      <c r="LH49" s="9"/>
      <c r="LI49" s="9"/>
      <c r="LJ49" s="9"/>
      <c r="LK49" s="9"/>
      <c r="LL49" s="9"/>
      <c r="LM49" s="9"/>
      <c r="LN49" s="9"/>
      <c r="LO49" s="9"/>
      <c r="LP49" s="9"/>
      <c r="LQ49" s="9"/>
      <c r="LR49" s="9"/>
      <c r="LS49" s="9"/>
      <c r="LT49" s="9"/>
      <c r="LU49" s="9"/>
      <c r="LV49" s="9"/>
      <c r="LW49" s="9"/>
      <c r="LX49" s="9"/>
      <c r="LY49" s="9"/>
      <c r="LZ49" s="9"/>
      <c r="MA49" s="9"/>
      <c r="MB49" s="9"/>
      <c r="MC49" s="9"/>
      <c r="MD49" s="9"/>
      <c r="ME49" s="9"/>
      <c r="MF49" s="9"/>
      <c r="MG49" s="9"/>
      <c r="MH49" s="9"/>
      <c r="MI49" s="9"/>
      <c r="MJ49" s="9"/>
      <c r="MK49" s="9"/>
      <c r="ML49" s="9"/>
      <c r="MM49" s="9"/>
      <c r="MN49" s="9"/>
      <c r="MO49" s="9"/>
      <c r="MP49" s="9"/>
      <c r="MQ49" s="9"/>
      <c r="MR49" s="9"/>
      <c r="MS49" s="9"/>
      <c r="MT49" s="9"/>
      <c r="MU49" s="9"/>
      <c r="MV49" s="9"/>
      <c r="MW49" s="9"/>
      <c r="MX49" s="9"/>
      <c r="MY49" s="9"/>
      <c r="MZ49" s="9"/>
      <c r="NA49" s="9"/>
      <c r="NB49" s="9"/>
      <c r="NC49" s="9"/>
      <c r="ND49" s="9"/>
      <c r="NE49" s="9"/>
      <c r="NF49" s="9"/>
      <c r="NG49" s="9"/>
      <c r="NH49" s="9"/>
      <c r="NI49" s="9"/>
      <c r="NJ49" s="9"/>
      <c r="NK49" s="9"/>
      <c r="NL49" s="9"/>
      <c r="NM49" s="9"/>
      <c r="NN49" s="9"/>
      <c r="NO49" s="9"/>
      <c r="NP49" s="9"/>
      <c r="NQ49" s="9"/>
      <c r="NR49" s="9"/>
      <c r="NS49" s="9"/>
      <c r="NT49" s="9"/>
      <c r="NU49" s="9"/>
      <c r="NV49" s="9"/>
      <c r="NW49" s="9"/>
      <c r="NX49" s="9"/>
      <c r="NY49" s="9"/>
      <c r="NZ49" s="9"/>
      <c r="OA49" s="9"/>
      <c r="OB49" s="9"/>
      <c r="OC49" s="9"/>
      <c r="OD49" s="9"/>
      <c r="OE49" s="9"/>
      <c r="OF49" s="9"/>
      <c r="OG49" s="9"/>
      <c r="OH49" s="9"/>
      <c r="OI49" s="9"/>
      <c r="OJ49" s="9"/>
      <c r="OK49" s="9"/>
      <c r="OL49" s="9"/>
      <c r="OM49" s="9"/>
      <c r="ON49" s="9"/>
      <c r="OO49" s="9"/>
      <c r="OP49" s="9"/>
      <c r="OQ49" s="9"/>
      <c r="OR49" s="9"/>
      <c r="OS49" s="9"/>
      <c r="OT49" s="9"/>
      <c r="OU49" s="9"/>
      <c r="OV49" s="9"/>
      <c r="OW49" s="9"/>
      <c r="OX49" s="9"/>
      <c r="OY49" s="9"/>
      <c r="OZ49" s="9"/>
      <c r="PA49" s="9"/>
      <c r="PB49" s="9"/>
      <c r="PC49" s="9"/>
      <c r="PD49" s="9"/>
      <c r="PE49" s="9"/>
      <c r="PF49" s="9"/>
      <c r="PG49" s="9"/>
      <c r="PH49" s="9"/>
      <c r="PI49" s="9"/>
      <c r="PJ49" s="9"/>
      <c r="PK49" s="9"/>
      <c r="PL49" s="9"/>
      <c r="PM49" s="9"/>
      <c r="PN49" s="9"/>
      <c r="PO49" s="9"/>
      <c r="PP49" s="9"/>
      <c r="PQ49" s="9"/>
      <c r="PR49" s="9"/>
      <c r="PS49" s="9"/>
      <c r="PT49" s="9"/>
      <c r="PU49" s="9"/>
      <c r="PV49" s="9"/>
      <c r="PW49" s="9"/>
      <c r="PX49" s="9"/>
      <c r="PY49" s="9"/>
      <c r="PZ49" s="9"/>
      <c r="QA49" s="9"/>
      <c r="QB49" s="9"/>
      <c r="QC49" s="9"/>
      <c r="QD49" s="9"/>
      <c r="QE49" s="9"/>
      <c r="QF49" s="9"/>
      <c r="QG49" s="9"/>
      <c r="QH49" s="9"/>
      <c r="QI49" s="9"/>
      <c r="QJ49" s="9"/>
      <c r="QK49" s="9"/>
      <c r="QL49" s="9"/>
      <c r="QM49" s="9"/>
      <c r="QN49" s="9"/>
      <c r="QO49" s="9"/>
      <c r="QP49" s="9"/>
      <c r="QQ49" s="9"/>
      <c r="QR49" s="9"/>
      <c r="QS49" s="9"/>
      <c r="QT49" s="9"/>
      <c r="QU49" s="9"/>
      <c r="QV49" s="9"/>
      <c r="QW49" s="9"/>
      <c r="QX49" s="9"/>
      <c r="QY49" s="9"/>
      <c r="QZ49" s="9"/>
      <c r="RA49" s="9"/>
      <c r="RB49" s="9"/>
      <c r="RC49" s="9"/>
      <c r="RD49" s="9"/>
      <c r="RE49" s="9"/>
      <c r="RF49" s="9"/>
      <c r="RG49" s="9"/>
      <c r="RH49" s="9"/>
      <c r="RI49" s="9"/>
      <c r="RJ49" s="9"/>
      <c r="RK49" s="9"/>
      <c r="RL49" s="9"/>
      <c r="RM49" s="9"/>
      <c r="RN49" s="9"/>
      <c r="RO49" s="9"/>
      <c r="RP49" s="9"/>
      <c r="RQ49" s="9"/>
      <c r="RR49" s="9"/>
      <c r="RS49" s="9"/>
      <c r="RT49" s="9"/>
      <c r="RU49" s="9"/>
      <c r="RV49" s="9"/>
      <c r="RW49" s="9"/>
      <c r="RX49" s="9"/>
      <c r="RY49" s="9"/>
      <c r="RZ49" s="9"/>
      <c r="SA49" s="9"/>
      <c r="SB49" s="9"/>
      <c r="SC49" s="9"/>
      <c r="SD49" s="9"/>
      <c r="SE49" s="9"/>
      <c r="SF49" s="9"/>
      <c r="SG49" s="9"/>
      <c r="SH49" s="9"/>
      <c r="SI49" s="9"/>
      <c r="SJ49" s="9"/>
      <c r="SK49" s="9"/>
      <c r="SL49" s="9"/>
      <c r="SM49" s="9"/>
      <c r="SN49" s="9"/>
      <c r="SO49" s="9"/>
      <c r="SP49" s="9"/>
      <c r="SQ49" s="9"/>
      <c r="SR49" s="9"/>
      <c r="SS49" s="9"/>
      <c r="ST49" s="9"/>
      <c r="SU49" s="9"/>
      <c r="SV49" s="9"/>
      <c r="SW49" s="9"/>
      <c r="SX49" s="9"/>
      <c r="SY49" s="9"/>
      <c r="SZ49" s="9"/>
      <c r="TA49" s="9"/>
      <c r="TB49" s="9"/>
      <c r="TC49" s="9"/>
      <c r="TD49" s="9"/>
      <c r="TE49" s="9"/>
      <c r="TF49" s="9"/>
      <c r="TG49" s="9"/>
      <c r="TH49" s="9"/>
      <c r="TI49" s="9"/>
      <c r="TJ49" s="9"/>
      <c r="TK49" s="9"/>
      <c r="TL49" s="9"/>
      <c r="TM49" s="9"/>
      <c r="TN49" s="9"/>
      <c r="TO49" s="9"/>
      <c r="TP49" s="9"/>
      <c r="TQ49" s="9"/>
      <c r="TR49" s="9"/>
      <c r="TS49" s="9"/>
      <c r="TT49" s="9"/>
      <c r="TU49" s="9"/>
      <c r="TV49" s="9"/>
      <c r="TW49" s="9"/>
      <c r="TX49" s="9"/>
      <c r="TY49" s="9"/>
      <c r="TZ49" s="9"/>
      <c r="UA49" s="9"/>
      <c r="UB49" s="9"/>
      <c r="UC49" s="9"/>
      <c r="UD49" s="9"/>
      <c r="UE49" s="9"/>
      <c r="UF49" s="9"/>
      <c r="UG49" s="9"/>
      <c r="UH49" s="9"/>
      <c r="UI49" s="9"/>
      <c r="UJ49" s="9"/>
      <c r="UK49" s="9"/>
      <c r="UL49" s="9"/>
      <c r="UM49" s="9"/>
    </row>
    <row r="50" spans="1:559" s="133" customFormat="1" ht="11.25" customHeight="1">
      <c r="A50" s="50"/>
      <c r="B50" s="10"/>
      <c r="C50" s="10"/>
      <c r="D50" s="50"/>
      <c r="E50" s="50"/>
      <c r="F50" s="50"/>
      <c r="G50" s="50"/>
      <c r="H50" s="50"/>
      <c r="I50" s="50"/>
      <c r="J50" s="50"/>
      <c r="K50" s="277" t="s">
        <v>1731</v>
      </c>
      <c r="L50" s="46"/>
      <c r="M50" s="357" t="s">
        <v>1741</v>
      </c>
      <c r="N50" s="357"/>
      <c r="O50" s="357"/>
      <c r="P50" s="8"/>
      <c r="Q50" s="275" t="str">
        <f>IF(ISERROR(VLOOKUP(P50,Tools!$D$11:$J$57,7,FALSE)),"",VLOOKUP(P50,Tools!$D$11:$J$57,7,FALSE))</f>
        <v/>
      </c>
      <c r="R50" s="275">
        <v>2</v>
      </c>
      <c r="S50" s="216">
        <v>44281</v>
      </c>
      <c r="T50" s="8">
        <v>5</v>
      </c>
      <c r="U50" s="8" t="s">
        <v>998</v>
      </c>
      <c r="V50" s="275">
        <f>IF(U50=dur_type_d,T50,IF(U50=dur_type_w,IF(Work_D_Only_Bool,T50*5,T50*7),IF(U50=dur_type_m,IF(Work_D_Only_Bool,NETWORKDAYS.INTL(S50,DATE(YEAR(S50),MONTH(S50)+T50,DAY(S50)-1),WE_Days,Holiday_Days),DATE(YEAR(S50),MONTH(S50)+T50,DAY(S50))-S50),"ERROR")))</f>
        <v>5</v>
      </c>
      <c r="W50" s="49"/>
      <c r="X50" s="179">
        <f>IF(V50&gt;0,S50+V50-1,S50+V50+1)</f>
        <v>44285</v>
      </c>
      <c r="Y50" s="47">
        <f>IF(S50&lt;&gt;"",IF($GE$7,W50,X50),"")</f>
        <v>44285</v>
      </c>
      <c r="Z50" s="179">
        <f>IF(T50&gt;0,S50,Y50)</f>
        <v>44281</v>
      </c>
      <c r="AA50" s="179">
        <f>IF(T50&gt;0,Y50,S50)</f>
        <v>44285</v>
      </c>
      <c r="AB50" s="48">
        <v>0</v>
      </c>
      <c r="AC50" s="179">
        <f>INT(Z50+AB50*(AA50-Z50))</f>
        <v>44281</v>
      </c>
      <c r="AD50" s="204">
        <f>IF(AND(AB50&lt;1,AC50&lt;$DC$7),0,1)</f>
        <v>0</v>
      </c>
      <c r="AE50" s="49"/>
      <c r="AF50" s="49"/>
      <c r="AG50" s="49"/>
      <c r="AH50" s="49"/>
      <c r="AI50" s="49"/>
      <c r="AJ50" s="224"/>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B50" s="9"/>
      <c r="JC50" s="9"/>
      <c r="JD50" s="9"/>
      <c r="JE50" s="9"/>
      <c r="JF50" s="9"/>
      <c r="JG50" s="9"/>
      <c r="JH50" s="9"/>
      <c r="JI50" s="9"/>
      <c r="JJ50" s="9"/>
      <c r="JK50" s="9"/>
      <c r="JL50" s="9"/>
      <c r="JM50" s="9"/>
      <c r="JN50" s="9"/>
      <c r="JO50" s="9"/>
      <c r="JP50" s="9"/>
      <c r="JQ50" s="9"/>
      <c r="JR50" s="9"/>
      <c r="JS50" s="9"/>
      <c r="JT50" s="9"/>
      <c r="JU50" s="9"/>
      <c r="JV50" s="9"/>
      <c r="JW50" s="9"/>
      <c r="JX50" s="9"/>
      <c r="JY50" s="9"/>
      <c r="JZ50" s="9"/>
      <c r="KA50" s="9"/>
      <c r="KB50" s="9"/>
      <c r="KC50" s="9"/>
      <c r="KD50" s="9"/>
      <c r="KE50" s="9"/>
      <c r="KF50" s="9"/>
      <c r="KG50" s="9"/>
      <c r="KH50" s="9"/>
      <c r="KI50" s="9"/>
      <c r="KJ50" s="9"/>
      <c r="KK50" s="9"/>
      <c r="KL50" s="9"/>
      <c r="KM50" s="9"/>
      <c r="KN50" s="9"/>
      <c r="KO50" s="9"/>
      <c r="KP50" s="9"/>
      <c r="KQ50" s="9"/>
      <c r="KR50" s="9"/>
      <c r="KS50" s="9"/>
      <c r="KT50" s="9"/>
      <c r="KU50" s="9"/>
      <c r="KV50" s="9"/>
      <c r="KW50" s="9"/>
      <c r="KX50" s="9"/>
      <c r="KY50" s="9"/>
      <c r="KZ50" s="9"/>
      <c r="LA50" s="9"/>
      <c r="LB50" s="9"/>
      <c r="LC50" s="9"/>
      <c r="LD50" s="9"/>
      <c r="LE50" s="9"/>
      <c r="LF50" s="9"/>
      <c r="LG50" s="9"/>
      <c r="LH50" s="9"/>
      <c r="LI50" s="9"/>
      <c r="LJ50" s="9"/>
      <c r="LK50" s="9"/>
      <c r="LL50" s="9"/>
      <c r="LM50" s="9"/>
      <c r="LN50" s="9"/>
      <c r="LO50" s="9"/>
      <c r="LP50" s="9"/>
      <c r="LQ50" s="9"/>
      <c r="LR50" s="9"/>
      <c r="LS50" s="9"/>
      <c r="LT50" s="9"/>
      <c r="LU50" s="9"/>
      <c r="LV50" s="9"/>
      <c r="LW50" s="9"/>
      <c r="LX50" s="9"/>
      <c r="LY50" s="9"/>
      <c r="LZ50" s="9"/>
      <c r="MA50" s="9"/>
      <c r="MB50" s="9"/>
      <c r="MC50" s="9"/>
      <c r="MD50" s="9"/>
      <c r="ME50" s="9"/>
      <c r="MF50" s="9"/>
      <c r="MG50" s="9"/>
      <c r="MH50" s="9"/>
      <c r="MI50" s="9"/>
      <c r="MJ50" s="9"/>
      <c r="MK50" s="9"/>
      <c r="ML50" s="9"/>
      <c r="MM50" s="9"/>
      <c r="MN50" s="9"/>
      <c r="MO50" s="9"/>
      <c r="MP50" s="9"/>
      <c r="MQ50" s="9"/>
      <c r="MR50" s="9"/>
      <c r="MS50" s="9"/>
      <c r="MT50" s="9"/>
      <c r="MU50" s="9"/>
      <c r="MV50" s="9"/>
      <c r="MW50" s="9"/>
      <c r="MX50" s="9"/>
      <c r="MY50" s="9"/>
      <c r="MZ50" s="9"/>
      <c r="NA50" s="9"/>
      <c r="NB50" s="9"/>
      <c r="NC50" s="9"/>
      <c r="ND50" s="9"/>
      <c r="NE50" s="9"/>
      <c r="NF50" s="9"/>
      <c r="NG50" s="9"/>
      <c r="NH50" s="9"/>
      <c r="NI50" s="9"/>
      <c r="NJ50" s="9"/>
      <c r="NK50" s="9"/>
      <c r="NL50" s="9"/>
      <c r="NM50" s="9"/>
      <c r="NN50" s="9"/>
      <c r="NO50" s="9"/>
      <c r="NP50" s="9"/>
      <c r="NQ50" s="9"/>
      <c r="NR50" s="9"/>
      <c r="NS50" s="9"/>
      <c r="NT50" s="9"/>
      <c r="NU50" s="9"/>
      <c r="NV50" s="9"/>
      <c r="NW50" s="9"/>
      <c r="NX50" s="9"/>
      <c r="NY50" s="9"/>
      <c r="NZ50" s="9"/>
      <c r="OA50" s="9"/>
      <c r="OB50" s="9"/>
      <c r="OC50" s="9"/>
      <c r="OD50" s="9"/>
      <c r="OE50" s="9"/>
      <c r="OF50" s="9"/>
      <c r="OG50" s="9"/>
      <c r="OH50" s="9"/>
      <c r="OI50" s="9"/>
      <c r="OJ50" s="9"/>
      <c r="OK50" s="9"/>
      <c r="OL50" s="9"/>
      <c r="OM50" s="9"/>
      <c r="ON50" s="9"/>
      <c r="OO50" s="9"/>
      <c r="OP50" s="9"/>
      <c r="OQ50" s="9"/>
      <c r="OR50" s="9"/>
      <c r="OS50" s="9"/>
      <c r="OT50" s="9"/>
      <c r="OU50" s="9"/>
      <c r="OV50" s="9"/>
      <c r="OW50" s="9"/>
      <c r="OX50" s="9"/>
      <c r="OY50" s="9"/>
      <c r="OZ50" s="9"/>
      <c r="PA50" s="9"/>
      <c r="PB50" s="9"/>
      <c r="PC50" s="9"/>
      <c r="PD50" s="9"/>
      <c r="PE50" s="9"/>
      <c r="PF50" s="9"/>
      <c r="PG50" s="9"/>
      <c r="PH50" s="9"/>
      <c r="PI50" s="9"/>
      <c r="PJ50" s="9"/>
      <c r="PK50" s="9"/>
      <c r="PL50" s="9"/>
      <c r="PM50" s="9"/>
      <c r="PN50" s="9"/>
      <c r="PO50" s="9"/>
      <c r="PP50" s="9"/>
      <c r="PQ50" s="9"/>
      <c r="PR50" s="9"/>
      <c r="PS50" s="9"/>
      <c r="PT50" s="9"/>
      <c r="PU50" s="9"/>
      <c r="PV50" s="9"/>
      <c r="PW50" s="9"/>
      <c r="PX50" s="9"/>
      <c r="PY50" s="9"/>
      <c r="PZ50" s="9"/>
      <c r="QA50" s="9"/>
      <c r="QB50" s="9"/>
      <c r="QC50" s="9"/>
      <c r="QD50" s="9"/>
      <c r="QE50" s="9"/>
      <c r="QF50" s="9"/>
      <c r="QG50" s="9"/>
      <c r="QH50" s="9"/>
      <c r="QI50" s="9"/>
      <c r="QJ50" s="9"/>
      <c r="QK50" s="9"/>
      <c r="QL50" s="9"/>
      <c r="QM50" s="9"/>
      <c r="QN50" s="9"/>
      <c r="QO50" s="9"/>
      <c r="QP50" s="9"/>
      <c r="QQ50" s="9"/>
      <c r="QR50" s="9"/>
      <c r="QS50" s="9"/>
      <c r="QT50" s="9"/>
      <c r="QU50" s="9"/>
      <c r="QV50" s="9"/>
      <c r="QW50" s="9"/>
      <c r="QX50" s="9"/>
      <c r="QY50" s="9"/>
      <c r="QZ50" s="9"/>
      <c r="RA50" s="9"/>
      <c r="RB50" s="9"/>
      <c r="RC50" s="9"/>
      <c r="RD50" s="9"/>
      <c r="RE50" s="9"/>
      <c r="RF50" s="9"/>
      <c r="RG50" s="9"/>
      <c r="RH50" s="9"/>
      <c r="RI50" s="9"/>
      <c r="RJ50" s="9"/>
      <c r="RK50" s="9"/>
      <c r="RL50" s="9"/>
      <c r="RM50" s="9"/>
      <c r="RN50" s="9"/>
      <c r="RO50" s="9"/>
      <c r="RP50" s="9"/>
      <c r="RQ50" s="9"/>
      <c r="RR50" s="9"/>
      <c r="RS50" s="9"/>
      <c r="RT50" s="9"/>
      <c r="RU50" s="9"/>
      <c r="RV50" s="9"/>
      <c r="RW50" s="9"/>
      <c r="RX50" s="9"/>
      <c r="RY50" s="9"/>
      <c r="RZ50" s="9"/>
      <c r="SA50" s="9"/>
      <c r="SB50" s="9"/>
      <c r="SC50" s="9"/>
      <c r="SD50" s="9"/>
      <c r="SE50" s="9"/>
      <c r="SF50" s="9"/>
      <c r="SG50" s="9"/>
      <c r="SH50" s="9"/>
      <c r="SI50" s="9"/>
      <c r="SJ50" s="9"/>
      <c r="SK50" s="9"/>
      <c r="SL50" s="9"/>
      <c r="SM50" s="9"/>
      <c r="SN50" s="9"/>
      <c r="SO50" s="9"/>
      <c r="SP50" s="9"/>
      <c r="SQ50" s="9"/>
      <c r="SR50" s="9"/>
      <c r="SS50" s="9"/>
      <c r="ST50" s="9"/>
      <c r="SU50" s="9"/>
      <c r="SV50" s="9"/>
      <c r="SW50" s="9"/>
      <c r="SX50" s="9"/>
      <c r="SY50" s="9"/>
      <c r="SZ50" s="9"/>
      <c r="TA50" s="9"/>
      <c r="TB50" s="9"/>
      <c r="TC50" s="9"/>
      <c r="TD50" s="9"/>
      <c r="TE50" s="9"/>
      <c r="TF50" s="9"/>
      <c r="TG50" s="9"/>
      <c r="TH50" s="9"/>
      <c r="TI50" s="9"/>
      <c r="TJ50" s="9"/>
      <c r="TK50" s="9"/>
      <c r="TL50" s="9"/>
      <c r="TM50" s="9"/>
      <c r="TN50" s="9"/>
      <c r="TO50" s="9"/>
      <c r="TP50" s="9"/>
      <c r="TQ50" s="9"/>
      <c r="TR50" s="9"/>
      <c r="TS50" s="9"/>
      <c r="TT50" s="9"/>
      <c r="TU50" s="9"/>
      <c r="TV50" s="9"/>
      <c r="TW50" s="9"/>
      <c r="TX50" s="9"/>
      <c r="TY50" s="9"/>
      <c r="TZ50" s="9"/>
      <c r="UA50" s="9"/>
      <c r="UB50" s="9"/>
      <c r="UC50" s="9"/>
      <c r="UD50" s="9"/>
      <c r="UE50" s="9"/>
      <c r="UF50" s="9"/>
      <c r="UG50" s="9"/>
      <c r="UH50" s="9"/>
      <c r="UI50" s="9"/>
      <c r="UJ50" s="9"/>
      <c r="UK50" s="9"/>
      <c r="UL50" s="9"/>
      <c r="UM50" s="9"/>
    </row>
    <row r="51" spans="1:559" s="133" customFormat="1" ht="11.25" customHeight="1">
      <c r="A51" s="50"/>
      <c r="B51" s="10"/>
      <c r="C51" s="10"/>
      <c r="D51" s="50"/>
      <c r="E51" s="50"/>
      <c r="F51" s="50"/>
      <c r="G51" s="50"/>
      <c r="H51" s="50"/>
      <c r="I51" s="50"/>
      <c r="J51" s="50"/>
      <c r="K51" s="277" t="s">
        <v>1746</v>
      </c>
      <c r="L51" s="46"/>
      <c r="M51" s="357" t="s">
        <v>1742</v>
      </c>
      <c r="N51" s="357"/>
      <c r="O51" s="357"/>
      <c r="P51" s="8"/>
      <c r="Q51" s="275" t="str">
        <f>IF(ISERROR(VLOOKUP(P51,Tools!$D$11:$J$57,7,FALSE)),"",VLOOKUP(P51,Tools!$D$11:$J$57,7,FALSE))</f>
        <v/>
      </c>
      <c r="R51" s="275">
        <v>2</v>
      </c>
      <c r="S51" s="216">
        <v>44285</v>
      </c>
      <c r="T51" s="8">
        <v>5</v>
      </c>
      <c r="U51" s="8" t="s">
        <v>998</v>
      </c>
      <c r="V51" s="275">
        <f>IF(U51=dur_type_d,T51,IF(U51=dur_type_w,IF(Work_D_Only_Bool,T51*5,T51*7),IF(U51=dur_type_m,IF(Work_D_Only_Bool,NETWORKDAYS.INTL(S51,DATE(YEAR(S51),MONTH(S51)+T51,DAY(S51)-1),WE_Days,Holiday_Days),DATE(YEAR(S51),MONTH(S51)+T51,DAY(S51))-S51),"ERROR")))</f>
        <v>5</v>
      </c>
      <c r="W51" s="49"/>
      <c r="X51" s="179">
        <f>IF(V51&gt;0,S51+V51-1,S51+V51+1)</f>
        <v>44289</v>
      </c>
      <c r="Y51" s="47">
        <f>IF(S51&lt;&gt;"",IF($GE$7,W51,X51),"")</f>
        <v>44289</v>
      </c>
      <c r="Z51" s="179">
        <f>IF(T51&gt;0,S51,Y51)</f>
        <v>44285</v>
      </c>
      <c r="AA51" s="179">
        <f>IF(T51&gt;0,Y51,S51)</f>
        <v>44289</v>
      </c>
      <c r="AB51" s="48">
        <v>0</v>
      </c>
      <c r="AC51" s="179">
        <f>INT(Z51+AB51*(AA51-Z51))</f>
        <v>44285</v>
      </c>
      <c r="AD51" s="204">
        <f>IF(AND(AB51&lt;1,AC51&lt;$DC$7),0,1)</f>
        <v>0</v>
      </c>
      <c r="AE51" s="49"/>
      <c r="AF51" s="49"/>
      <c r="AG51" s="49"/>
      <c r="AH51" s="49"/>
      <c r="AI51" s="49"/>
      <c r="AJ51" s="224"/>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B51" s="9"/>
      <c r="JC51" s="9"/>
      <c r="JD51" s="9"/>
      <c r="JE51" s="9"/>
      <c r="JF51" s="9"/>
      <c r="JG51" s="9"/>
      <c r="JH51" s="9"/>
      <c r="JI51" s="9"/>
      <c r="JJ51" s="9"/>
      <c r="JK51" s="9"/>
      <c r="JL51" s="9"/>
      <c r="JM51" s="9"/>
      <c r="JN51" s="9"/>
      <c r="JO51" s="9"/>
      <c r="JP51" s="9"/>
      <c r="JQ51" s="9"/>
      <c r="JR51" s="9"/>
      <c r="JS51" s="9"/>
      <c r="JT51" s="9"/>
      <c r="JU51" s="9"/>
      <c r="JV51" s="9"/>
      <c r="JW51" s="9"/>
      <c r="JX51" s="9"/>
      <c r="JY51" s="9"/>
      <c r="JZ51" s="9"/>
      <c r="KA51" s="9"/>
      <c r="KB51" s="9"/>
      <c r="KC51" s="9"/>
      <c r="KD51" s="9"/>
      <c r="KE51" s="9"/>
      <c r="KF51" s="9"/>
      <c r="KG51" s="9"/>
      <c r="KH51" s="9"/>
      <c r="KI51" s="9"/>
      <c r="KJ51" s="9"/>
      <c r="KK51" s="9"/>
      <c r="KL51" s="9"/>
      <c r="KM51" s="9"/>
      <c r="KN51" s="9"/>
      <c r="KO51" s="9"/>
      <c r="KP51" s="9"/>
      <c r="KQ51" s="9"/>
      <c r="KR51" s="9"/>
      <c r="KS51" s="9"/>
      <c r="KT51" s="9"/>
      <c r="KU51" s="9"/>
      <c r="KV51" s="9"/>
      <c r="KW51" s="9"/>
      <c r="KX51" s="9"/>
      <c r="KY51" s="9"/>
      <c r="KZ51" s="9"/>
      <c r="LA51" s="9"/>
      <c r="LB51" s="9"/>
      <c r="LC51" s="9"/>
      <c r="LD51" s="9"/>
      <c r="LE51" s="9"/>
      <c r="LF51" s="9"/>
      <c r="LG51" s="9"/>
      <c r="LH51" s="9"/>
      <c r="LI51" s="9"/>
      <c r="LJ51" s="9"/>
      <c r="LK51" s="9"/>
      <c r="LL51" s="9"/>
      <c r="LM51" s="9"/>
      <c r="LN51" s="9"/>
      <c r="LO51" s="9"/>
      <c r="LP51" s="9"/>
      <c r="LQ51" s="9"/>
      <c r="LR51" s="9"/>
      <c r="LS51" s="9"/>
      <c r="LT51" s="9"/>
      <c r="LU51" s="9"/>
      <c r="LV51" s="9"/>
      <c r="LW51" s="9"/>
      <c r="LX51" s="9"/>
      <c r="LY51" s="9"/>
      <c r="LZ51" s="9"/>
      <c r="MA51" s="9"/>
      <c r="MB51" s="9"/>
      <c r="MC51" s="9"/>
      <c r="MD51" s="9"/>
      <c r="ME51" s="9"/>
      <c r="MF51" s="9"/>
      <c r="MG51" s="9"/>
      <c r="MH51" s="9"/>
      <c r="MI51" s="9"/>
      <c r="MJ51" s="9"/>
      <c r="MK51" s="9"/>
      <c r="ML51" s="9"/>
      <c r="MM51" s="9"/>
      <c r="MN51" s="9"/>
      <c r="MO51" s="9"/>
      <c r="MP51" s="9"/>
      <c r="MQ51" s="9"/>
      <c r="MR51" s="9"/>
      <c r="MS51" s="9"/>
      <c r="MT51" s="9"/>
      <c r="MU51" s="9"/>
      <c r="MV51" s="9"/>
      <c r="MW51" s="9"/>
      <c r="MX51" s="9"/>
      <c r="MY51" s="9"/>
      <c r="MZ51" s="9"/>
      <c r="NA51" s="9"/>
      <c r="NB51" s="9"/>
      <c r="NC51" s="9"/>
      <c r="ND51" s="9"/>
      <c r="NE51" s="9"/>
      <c r="NF51" s="9"/>
      <c r="NG51" s="9"/>
      <c r="NH51" s="9"/>
      <c r="NI51" s="9"/>
      <c r="NJ51" s="9"/>
      <c r="NK51" s="9"/>
      <c r="NL51" s="9"/>
      <c r="NM51" s="9"/>
      <c r="NN51" s="9"/>
      <c r="NO51" s="9"/>
      <c r="NP51" s="9"/>
      <c r="NQ51" s="9"/>
      <c r="NR51" s="9"/>
      <c r="NS51" s="9"/>
      <c r="NT51" s="9"/>
      <c r="NU51" s="9"/>
      <c r="NV51" s="9"/>
      <c r="NW51" s="9"/>
      <c r="NX51" s="9"/>
      <c r="NY51" s="9"/>
      <c r="NZ51" s="9"/>
      <c r="OA51" s="9"/>
      <c r="OB51" s="9"/>
      <c r="OC51" s="9"/>
      <c r="OD51" s="9"/>
      <c r="OE51" s="9"/>
      <c r="OF51" s="9"/>
      <c r="OG51" s="9"/>
      <c r="OH51" s="9"/>
      <c r="OI51" s="9"/>
      <c r="OJ51" s="9"/>
      <c r="OK51" s="9"/>
      <c r="OL51" s="9"/>
      <c r="OM51" s="9"/>
      <c r="ON51" s="9"/>
      <c r="OO51" s="9"/>
      <c r="OP51" s="9"/>
      <c r="OQ51" s="9"/>
      <c r="OR51" s="9"/>
      <c r="OS51" s="9"/>
      <c r="OT51" s="9"/>
      <c r="OU51" s="9"/>
      <c r="OV51" s="9"/>
      <c r="OW51" s="9"/>
      <c r="OX51" s="9"/>
      <c r="OY51" s="9"/>
      <c r="OZ51" s="9"/>
      <c r="PA51" s="9"/>
      <c r="PB51" s="9"/>
      <c r="PC51" s="9"/>
      <c r="PD51" s="9"/>
      <c r="PE51" s="9"/>
      <c r="PF51" s="9"/>
      <c r="PG51" s="9"/>
      <c r="PH51" s="9"/>
      <c r="PI51" s="9"/>
      <c r="PJ51" s="9"/>
      <c r="PK51" s="9"/>
      <c r="PL51" s="9"/>
      <c r="PM51" s="9"/>
      <c r="PN51" s="9"/>
      <c r="PO51" s="9"/>
      <c r="PP51" s="9"/>
      <c r="PQ51" s="9"/>
      <c r="PR51" s="9"/>
      <c r="PS51" s="9"/>
      <c r="PT51" s="9"/>
      <c r="PU51" s="9"/>
      <c r="PV51" s="9"/>
      <c r="PW51" s="9"/>
      <c r="PX51" s="9"/>
      <c r="PY51" s="9"/>
      <c r="PZ51" s="9"/>
      <c r="QA51" s="9"/>
      <c r="QB51" s="9"/>
      <c r="QC51" s="9"/>
      <c r="QD51" s="9"/>
      <c r="QE51" s="9"/>
      <c r="QF51" s="9"/>
      <c r="QG51" s="9"/>
      <c r="QH51" s="9"/>
      <c r="QI51" s="9"/>
      <c r="QJ51" s="9"/>
      <c r="QK51" s="9"/>
      <c r="QL51" s="9"/>
      <c r="QM51" s="9"/>
      <c r="QN51" s="9"/>
      <c r="QO51" s="9"/>
      <c r="QP51" s="9"/>
      <c r="QQ51" s="9"/>
      <c r="QR51" s="9"/>
      <c r="QS51" s="9"/>
      <c r="QT51" s="9"/>
      <c r="QU51" s="9"/>
      <c r="QV51" s="9"/>
      <c r="QW51" s="9"/>
      <c r="QX51" s="9"/>
      <c r="QY51" s="9"/>
      <c r="QZ51" s="9"/>
      <c r="RA51" s="9"/>
      <c r="RB51" s="9"/>
      <c r="RC51" s="9"/>
      <c r="RD51" s="9"/>
      <c r="RE51" s="9"/>
      <c r="RF51" s="9"/>
      <c r="RG51" s="9"/>
      <c r="RH51" s="9"/>
      <c r="RI51" s="9"/>
      <c r="RJ51" s="9"/>
      <c r="RK51" s="9"/>
      <c r="RL51" s="9"/>
      <c r="RM51" s="9"/>
      <c r="RN51" s="9"/>
      <c r="RO51" s="9"/>
      <c r="RP51" s="9"/>
      <c r="RQ51" s="9"/>
      <c r="RR51" s="9"/>
      <c r="RS51" s="9"/>
      <c r="RT51" s="9"/>
      <c r="RU51" s="9"/>
      <c r="RV51" s="9"/>
      <c r="RW51" s="9"/>
      <c r="RX51" s="9"/>
      <c r="RY51" s="9"/>
      <c r="RZ51" s="9"/>
      <c r="SA51" s="9"/>
      <c r="SB51" s="9"/>
      <c r="SC51" s="9"/>
      <c r="SD51" s="9"/>
      <c r="SE51" s="9"/>
      <c r="SF51" s="9"/>
      <c r="SG51" s="9"/>
      <c r="SH51" s="9"/>
      <c r="SI51" s="9"/>
      <c r="SJ51" s="9"/>
      <c r="SK51" s="9"/>
      <c r="SL51" s="9"/>
      <c r="SM51" s="9"/>
      <c r="SN51" s="9"/>
      <c r="SO51" s="9"/>
      <c r="SP51" s="9"/>
      <c r="SQ51" s="9"/>
      <c r="SR51" s="9"/>
      <c r="SS51" s="9"/>
      <c r="ST51" s="9"/>
      <c r="SU51" s="9"/>
      <c r="SV51" s="9"/>
      <c r="SW51" s="9"/>
      <c r="SX51" s="9"/>
      <c r="SY51" s="9"/>
      <c r="SZ51" s="9"/>
      <c r="TA51" s="9"/>
      <c r="TB51" s="9"/>
      <c r="TC51" s="9"/>
      <c r="TD51" s="9"/>
      <c r="TE51" s="9"/>
      <c r="TF51" s="9"/>
      <c r="TG51" s="9"/>
      <c r="TH51" s="9"/>
      <c r="TI51" s="9"/>
      <c r="TJ51" s="9"/>
      <c r="TK51" s="9"/>
      <c r="TL51" s="9"/>
      <c r="TM51" s="9"/>
      <c r="TN51" s="9"/>
      <c r="TO51" s="9"/>
      <c r="TP51" s="9"/>
      <c r="TQ51" s="9"/>
      <c r="TR51" s="9"/>
      <c r="TS51" s="9"/>
      <c r="TT51" s="9"/>
      <c r="TU51" s="9"/>
      <c r="TV51" s="9"/>
      <c r="TW51" s="9"/>
      <c r="TX51" s="9"/>
      <c r="TY51" s="9"/>
      <c r="TZ51" s="9"/>
      <c r="UA51" s="9"/>
      <c r="UB51" s="9"/>
      <c r="UC51" s="9"/>
      <c r="UD51" s="9"/>
      <c r="UE51" s="9"/>
      <c r="UF51" s="9"/>
      <c r="UG51" s="9"/>
      <c r="UH51" s="9"/>
      <c r="UI51" s="9"/>
      <c r="UJ51" s="9"/>
      <c r="UK51" s="9"/>
      <c r="UL51" s="9"/>
      <c r="UM51" s="9"/>
    </row>
    <row r="52" spans="1:559" s="133" customFormat="1" ht="15">
      <c r="A52" s="22"/>
      <c r="B52" s="22"/>
      <c r="C52" s="22"/>
      <c r="D52" s="22"/>
      <c r="E52" s="22"/>
      <c r="F52" s="22"/>
      <c r="G52" s="22"/>
      <c r="H52" s="22"/>
      <c r="I52" s="22"/>
      <c r="J52" s="50"/>
      <c r="K52" s="59">
        <v>5</v>
      </c>
      <c r="L52" s="202"/>
      <c r="M52" s="356" t="s">
        <v>1724</v>
      </c>
      <c r="N52" s="356"/>
      <c r="O52" s="356"/>
      <c r="P52" s="287"/>
      <c r="Q52" s="274"/>
      <c r="R52" s="274">
        <v>1</v>
      </c>
      <c r="S52" s="284">
        <f>MIN(Z53:Z54)</f>
        <v>44296</v>
      </c>
      <c r="T52" s="278">
        <f>Y52-S52+1</f>
        <v>5</v>
      </c>
      <c r="U52" s="272"/>
      <c r="V52" s="288"/>
      <c r="W52" s="203"/>
      <c r="X52" s="178"/>
      <c r="Y52" s="43">
        <f>MAX(AA53:AA54)</f>
        <v>44300</v>
      </c>
      <c r="Z52" s="178"/>
      <c r="AA52" s="178"/>
      <c r="AB52" s="45">
        <f>SUMPRODUCT(AA53:AA54,AB53:AB54)/SUM(AA53:AA54)</f>
        <v>0</v>
      </c>
      <c r="AC52" s="178">
        <f>S52-1+AB52*T52</f>
        <v>44295</v>
      </c>
      <c r="AD52" s="205">
        <f>IF(AB52&lt;&gt;"",IF(AND(AB52&lt;1,AC52&lt;$DC$7),0,1))</f>
        <v>0</v>
      </c>
      <c r="AE52" s="203"/>
      <c r="AF52" s="203"/>
      <c r="AG52" s="203"/>
      <c r="AH52" s="203"/>
      <c r="AI52" s="203"/>
      <c r="AJ52" s="20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6"/>
      <c r="DB52" s="6"/>
      <c r="DC52" s="6"/>
      <c r="DD52" s="6"/>
      <c r="DE52" s="6"/>
      <c r="DF52" s="6"/>
      <c r="DG52" s="6"/>
      <c r="DH52" s="6"/>
      <c r="DI52" s="6"/>
      <c r="DJ52" s="6"/>
      <c r="DK52" s="6"/>
      <c r="DL52" s="6"/>
      <c r="DM52" s="6"/>
      <c r="DN52" s="6"/>
      <c r="DO52" s="6"/>
      <c r="DP52" s="6"/>
      <c r="DQ52" s="6"/>
      <c r="DR52" s="6"/>
      <c r="DS52" s="6"/>
      <c r="DT52" s="6"/>
      <c r="DU52" s="6"/>
      <c r="DV52" s="6"/>
      <c r="DW52" s="6"/>
      <c r="DX52" s="6"/>
      <c r="DY52" s="6"/>
      <c r="DZ52" s="6"/>
      <c r="EA52" s="6"/>
      <c r="EB52" s="6"/>
      <c r="EC52" s="6"/>
      <c r="ED52" s="6"/>
      <c r="EE52" s="6"/>
      <c r="EF52" s="6"/>
      <c r="EG52" s="6"/>
      <c r="EH52" s="6"/>
      <c r="EI52" s="6"/>
      <c r="EJ52" s="6"/>
      <c r="EK52" s="6"/>
      <c r="EL52" s="6"/>
      <c r="EM52" s="6"/>
      <c r="EN52" s="6"/>
      <c r="EO52" s="6"/>
      <c r="EP52" s="6"/>
      <c r="EQ52" s="6"/>
      <c r="ER52" s="6"/>
      <c r="ES52" s="6"/>
      <c r="ET52" s="6"/>
      <c r="EU52" s="6"/>
      <c r="EV52" s="6"/>
      <c r="EW52" s="6"/>
      <c r="EX52" s="6"/>
      <c r="EY52" s="6"/>
      <c r="EZ52" s="6"/>
      <c r="FA52" s="6"/>
      <c r="FB52" s="6"/>
      <c r="FC52" s="6"/>
      <c r="FD52" s="6"/>
      <c r="FE52" s="6"/>
      <c r="FF52" s="6"/>
      <c r="FG52" s="6"/>
      <c r="FH52" s="6"/>
      <c r="FI52" s="6"/>
      <c r="FJ52" s="6"/>
      <c r="FK52" s="6"/>
      <c r="FL52" s="6"/>
      <c r="FM52" s="6"/>
      <c r="FN52" s="6"/>
      <c r="FO52" s="6"/>
      <c r="FP52" s="6"/>
      <c r="FQ52" s="6"/>
      <c r="FR52" s="6"/>
      <c r="FS52" s="6"/>
      <c r="FT52" s="6"/>
      <c r="FU52" s="6"/>
      <c r="FV52" s="6"/>
      <c r="FW52" s="6"/>
      <c r="FX52" s="6"/>
      <c r="FY52" s="6"/>
      <c r="FZ52" s="6"/>
      <c r="GA52" s="6"/>
      <c r="GB52" s="6"/>
      <c r="GC52" s="6"/>
      <c r="GD52" s="6"/>
      <c r="GE52" s="6"/>
      <c r="GF52" s="6"/>
      <c r="GG52" s="6"/>
      <c r="GH52" s="6"/>
      <c r="GI52" s="6"/>
      <c r="GJ52" s="6"/>
      <c r="GK52" s="6"/>
      <c r="GL52" s="6"/>
      <c r="GM52" s="6"/>
      <c r="GN52" s="6"/>
      <c r="GO52" s="6"/>
      <c r="GP52" s="6"/>
      <c r="GQ52" s="6"/>
      <c r="GR52" s="6"/>
      <c r="GS52" s="6"/>
      <c r="GT52" s="6"/>
      <c r="GU52" s="6"/>
      <c r="GV52" s="6"/>
      <c r="GW52" s="6"/>
      <c r="GX52" s="6"/>
      <c r="GY52" s="6"/>
      <c r="GZ52" s="6"/>
      <c r="HA52" s="6"/>
      <c r="HB52" s="6"/>
      <c r="HC52" s="6"/>
      <c r="HD52" s="6"/>
      <c r="HE52" s="6"/>
      <c r="HF52" s="6"/>
      <c r="HG52" s="6"/>
      <c r="HH52" s="6"/>
      <c r="HI52" s="6"/>
      <c r="HJ52" s="6"/>
      <c r="HK52" s="6"/>
      <c r="HL52" s="6"/>
      <c r="HM52" s="6"/>
      <c r="HN52" s="6"/>
      <c r="HO52" s="6"/>
      <c r="HP52" s="6"/>
      <c r="HQ52" s="6"/>
      <c r="HR52" s="6"/>
      <c r="HS52" s="6"/>
      <c r="HT52" s="6"/>
      <c r="HU52" s="6"/>
      <c r="HV52" s="6"/>
      <c r="HW52" s="6"/>
      <c r="HX52" s="6"/>
      <c r="HY52" s="6"/>
      <c r="HZ52" s="6"/>
      <c r="IA52" s="6"/>
      <c r="IB52" s="6"/>
      <c r="IC52" s="6"/>
      <c r="ID52" s="6"/>
      <c r="IE52" s="6"/>
      <c r="IF52" s="6"/>
      <c r="IG52" s="6"/>
      <c r="IH52" s="6"/>
      <c r="II52" s="6"/>
      <c r="IJ52" s="6"/>
      <c r="IK52" s="6"/>
      <c r="IL52" s="6"/>
      <c r="IM52" s="6"/>
      <c r="IN52" s="6"/>
      <c r="IO52" s="6"/>
      <c r="IP52" s="6"/>
      <c r="IQ52" s="6"/>
      <c r="IR52" s="6"/>
      <c r="IS52" s="6"/>
      <c r="IT52" s="6"/>
      <c r="IU52" s="6"/>
      <c r="IV52" s="6"/>
      <c r="IW52" s="6"/>
      <c r="IX52" s="6"/>
      <c r="IY52" s="6"/>
      <c r="IZ52" s="6"/>
      <c r="JA52" s="6"/>
      <c r="JB52" s="6"/>
      <c r="JC52" s="6"/>
      <c r="JD52" s="6"/>
      <c r="JE52" s="6"/>
      <c r="JF52" s="6"/>
      <c r="JG52" s="6"/>
      <c r="JH52" s="6"/>
      <c r="JI52" s="6"/>
      <c r="JJ52" s="6"/>
      <c r="JK52" s="6"/>
      <c r="JL52" s="6"/>
      <c r="JM52" s="6"/>
      <c r="JN52" s="6"/>
      <c r="JO52" s="6"/>
      <c r="JP52" s="6"/>
      <c r="JQ52" s="6"/>
      <c r="JR52" s="6"/>
      <c r="JS52" s="6"/>
      <c r="JT52" s="6"/>
      <c r="JU52" s="6"/>
      <c r="JV52" s="6"/>
      <c r="JW52" s="6"/>
      <c r="JX52" s="6"/>
      <c r="JY52" s="6"/>
      <c r="JZ52" s="6"/>
      <c r="KA52" s="6"/>
      <c r="KB52" s="6"/>
      <c r="KC52" s="6"/>
      <c r="KD52" s="6"/>
      <c r="KE52" s="6"/>
      <c r="KF52" s="6"/>
      <c r="KG52" s="6"/>
      <c r="KH52" s="6"/>
      <c r="KI52" s="6"/>
      <c r="KJ52" s="6"/>
      <c r="KK52" s="6"/>
      <c r="KL52" s="6"/>
      <c r="KM52" s="6"/>
      <c r="KN52" s="6"/>
      <c r="KO52" s="6"/>
      <c r="KP52" s="6"/>
      <c r="KQ52" s="6"/>
      <c r="KR52" s="6"/>
      <c r="KS52" s="6"/>
      <c r="KT52" s="6"/>
      <c r="KU52" s="6"/>
      <c r="KV52" s="6"/>
      <c r="KW52" s="6"/>
      <c r="KX52" s="6"/>
      <c r="KY52" s="6"/>
      <c r="KZ52" s="6"/>
      <c r="LA52" s="6"/>
      <c r="LB52" s="6"/>
      <c r="LC52" s="6"/>
      <c r="LD52" s="6"/>
      <c r="LE52" s="6"/>
      <c r="LF52" s="6"/>
      <c r="LG52" s="6"/>
      <c r="LH52" s="6"/>
      <c r="LI52" s="6"/>
      <c r="LJ52" s="6"/>
      <c r="LK52" s="6"/>
      <c r="LL52" s="6"/>
      <c r="LM52" s="6"/>
      <c r="LN52" s="6"/>
      <c r="LO52" s="6"/>
      <c r="LP52" s="6"/>
      <c r="LQ52" s="6"/>
      <c r="LR52" s="6"/>
      <c r="LS52" s="6"/>
      <c r="LT52" s="6"/>
      <c r="LU52" s="6"/>
      <c r="LV52" s="6"/>
      <c r="LW52" s="6"/>
      <c r="LX52" s="6"/>
      <c r="LY52" s="6"/>
      <c r="LZ52" s="6"/>
      <c r="MA52" s="6"/>
      <c r="MB52" s="6"/>
      <c r="MC52" s="6"/>
      <c r="MD52" s="6"/>
      <c r="ME52" s="6"/>
      <c r="MF52" s="6"/>
      <c r="MG52" s="6"/>
      <c r="MH52" s="6"/>
      <c r="MI52" s="6"/>
      <c r="MJ52" s="6"/>
      <c r="MK52" s="6"/>
      <c r="ML52" s="6"/>
      <c r="MM52" s="6"/>
      <c r="MN52" s="6"/>
      <c r="MO52" s="6"/>
      <c r="MP52" s="6"/>
      <c r="MQ52" s="6"/>
      <c r="MR52" s="6"/>
      <c r="MS52" s="6"/>
      <c r="MT52" s="6"/>
      <c r="MU52" s="6"/>
      <c r="MV52" s="6"/>
      <c r="MW52" s="6"/>
      <c r="MX52" s="6"/>
      <c r="MY52" s="6"/>
      <c r="MZ52" s="6"/>
      <c r="NA52" s="6"/>
      <c r="NB52" s="6"/>
      <c r="NC52" s="6"/>
      <c r="ND52" s="6"/>
      <c r="NE52" s="6"/>
      <c r="NF52" s="6"/>
      <c r="NG52" s="6"/>
      <c r="NH52" s="6"/>
      <c r="NI52" s="6"/>
      <c r="NJ52" s="6"/>
      <c r="NK52" s="6"/>
      <c r="NL52" s="6"/>
      <c r="NM52" s="6"/>
      <c r="NN52" s="6"/>
      <c r="NO52" s="6"/>
      <c r="NP52" s="6"/>
      <c r="NQ52" s="6"/>
      <c r="NR52" s="6"/>
      <c r="NS52" s="6"/>
      <c r="NT52" s="6"/>
      <c r="NU52" s="6"/>
      <c r="NV52" s="6"/>
      <c r="NW52" s="6"/>
      <c r="NX52" s="6"/>
      <c r="NY52" s="6"/>
      <c r="NZ52" s="6"/>
      <c r="OA52" s="6"/>
      <c r="OB52" s="6"/>
      <c r="OC52" s="6"/>
      <c r="OD52" s="6"/>
      <c r="OE52" s="6"/>
      <c r="OF52" s="6"/>
      <c r="OG52" s="6"/>
      <c r="OH52" s="6"/>
      <c r="OI52" s="6"/>
      <c r="OJ52" s="6"/>
      <c r="OK52" s="6"/>
      <c r="OL52" s="6"/>
      <c r="OM52" s="6"/>
      <c r="ON52" s="6"/>
      <c r="OO52" s="6"/>
      <c r="OP52" s="6"/>
      <c r="OQ52" s="6"/>
      <c r="OR52" s="6"/>
      <c r="OS52" s="6"/>
      <c r="OT52" s="6"/>
      <c r="OU52" s="6"/>
      <c r="OV52" s="6"/>
      <c r="OW52" s="6"/>
      <c r="OX52" s="6"/>
      <c r="OY52" s="6"/>
      <c r="OZ52" s="6"/>
      <c r="PA52" s="6"/>
      <c r="PB52" s="6"/>
      <c r="PC52" s="6"/>
      <c r="PD52" s="6"/>
      <c r="PE52" s="6"/>
      <c r="PF52" s="6"/>
      <c r="PG52" s="6"/>
      <c r="PH52" s="6"/>
      <c r="PI52" s="6"/>
      <c r="PJ52" s="6"/>
      <c r="PK52" s="6"/>
      <c r="PL52" s="6"/>
      <c r="PM52" s="6"/>
      <c r="PN52" s="6"/>
      <c r="PO52" s="6"/>
      <c r="PP52" s="6"/>
      <c r="PQ52" s="6"/>
      <c r="PR52" s="6"/>
      <c r="PS52" s="6"/>
      <c r="PT52" s="6"/>
      <c r="PU52" s="6"/>
      <c r="PV52" s="6"/>
      <c r="PW52" s="6"/>
      <c r="PX52" s="6"/>
      <c r="PY52" s="6"/>
      <c r="PZ52" s="6"/>
      <c r="QA52" s="6"/>
      <c r="QB52" s="6"/>
      <c r="QC52" s="6"/>
      <c r="QD52" s="6"/>
      <c r="QE52" s="6"/>
      <c r="QF52" s="6"/>
      <c r="QG52" s="6"/>
      <c r="QH52" s="6"/>
      <c r="QI52" s="6"/>
      <c r="QJ52" s="6"/>
      <c r="QK52" s="6"/>
      <c r="QL52" s="6"/>
      <c r="QM52" s="6"/>
      <c r="QN52" s="6"/>
      <c r="QO52" s="6"/>
      <c r="QP52" s="6"/>
      <c r="QQ52" s="6"/>
      <c r="QR52" s="6"/>
      <c r="QS52" s="6"/>
      <c r="QT52" s="6"/>
      <c r="QU52" s="6"/>
      <c r="QV52" s="6"/>
      <c r="QW52" s="6"/>
      <c r="QX52" s="6"/>
      <c r="QY52" s="6"/>
      <c r="QZ52" s="6"/>
      <c r="RA52" s="6"/>
      <c r="RB52" s="6"/>
      <c r="RC52" s="6"/>
      <c r="RD52" s="6"/>
      <c r="RE52" s="6"/>
      <c r="RF52" s="6"/>
      <c r="RG52" s="6"/>
      <c r="RH52" s="6"/>
      <c r="RI52" s="6"/>
      <c r="RJ52" s="6"/>
      <c r="RK52" s="6"/>
      <c r="RL52" s="6"/>
      <c r="RM52" s="6"/>
      <c r="RN52" s="6"/>
      <c r="RO52" s="6"/>
      <c r="RP52" s="6"/>
      <c r="RQ52" s="6"/>
      <c r="RR52" s="6"/>
      <c r="RS52" s="6"/>
      <c r="RT52" s="6"/>
      <c r="RU52" s="6"/>
      <c r="RV52" s="6"/>
      <c r="RW52" s="6"/>
      <c r="RX52" s="6"/>
      <c r="RY52" s="6"/>
      <c r="RZ52" s="6"/>
      <c r="SA52" s="6"/>
      <c r="SB52" s="6"/>
      <c r="SC52" s="6"/>
      <c r="SD52" s="6"/>
      <c r="SE52" s="6"/>
      <c r="SF52" s="6"/>
      <c r="SG52" s="6"/>
      <c r="SH52" s="6"/>
      <c r="SI52" s="6"/>
      <c r="SJ52" s="6"/>
      <c r="SK52" s="6"/>
      <c r="SL52" s="6"/>
      <c r="SM52" s="6"/>
      <c r="SN52" s="6"/>
      <c r="SO52" s="6"/>
      <c r="SP52" s="6"/>
      <c r="SQ52" s="6"/>
      <c r="SR52" s="6"/>
      <c r="SS52" s="6"/>
      <c r="ST52" s="6"/>
      <c r="SU52" s="6"/>
      <c r="SV52" s="6"/>
      <c r="SW52" s="6"/>
      <c r="SX52" s="6"/>
      <c r="SY52" s="6"/>
      <c r="SZ52" s="6"/>
      <c r="TA52" s="6"/>
      <c r="TB52" s="6"/>
      <c r="TC52" s="6"/>
      <c r="TD52" s="6"/>
      <c r="TE52" s="6"/>
      <c r="TF52" s="6"/>
      <c r="TG52" s="6"/>
      <c r="TH52" s="6"/>
      <c r="TI52" s="6"/>
      <c r="TJ52" s="6"/>
      <c r="TK52" s="6"/>
      <c r="TL52" s="6"/>
      <c r="TM52" s="6"/>
      <c r="TN52" s="6"/>
      <c r="TO52" s="6"/>
      <c r="TP52" s="6"/>
      <c r="TQ52" s="6"/>
      <c r="TR52" s="6"/>
      <c r="TS52" s="6"/>
      <c r="TT52" s="6"/>
      <c r="TU52" s="6"/>
      <c r="TV52" s="6"/>
      <c r="TW52" s="6"/>
      <c r="TX52" s="6"/>
      <c r="TY52" s="6"/>
      <c r="TZ52" s="6"/>
      <c r="UA52" s="6"/>
      <c r="UB52" s="6"/>
      <c r="UC52" s="6"/>
      <c r="UD52" s="6"/>
      <c r="UE52" s="6"/>
      <c r="UF52" s="6"/>
      <c r="UG52" s="6"/>
      <c r="UH52" s="6"/>
      <c r="UI52" s="6"/>
      <c r="UJ52" s="6"/>
      <c r="UK52" s="6"/>
      <c r="UL52" s="6"/>
      <c r="UM52" s="6"/>
    </row>
    <row r="53" spans="1:559" s="133" customFormat="1" ht="11.25" customHeight="1">
      <c r="A53" s="50"/>
      <c r="B53" s="10"/>
      <c r="C53" s="10"/>
      <c r="D53" s="50"/>
      <c r="E53" s="50"/>
      <c r="F53" s="50"/>
      <c r="G53" s="50"/>
      <c r="H53" s="50"/>
      <c r="I53" s="50"/>
      <c r="J53" s="50"/>
      <c r="K53" s="277" t="s">
        <v>1033</v>
      </c>
      <c r="L53" s="46"/>
      <c r="M53" s="357" t="s">
        <v>1743</v>
      </c>
      <c r="N53" s="357"/>
      <c r="O53" s="357"/>
      <c r="P53" s="8"/>
      <c r="Q53" s="275" t="str">
        <f>IF(ISERROR(VLOOKUP(P53,Tools!$D$11:$J$57,7,FALSE)),"",VLOOKUP(P53,Tools!$D$11:$J$57,7,FALSE))</f>
        <v/>
      </c>
      <c r="R53" s="275">
        <v>2</v>
      </c>
      <c r="S53" s="216">
        <v>44296</v>
      </c>
      <c r="T53" s="8">
        <v>5</v>
      </c>
      <c r="U53" s="8" t="s">
        <v>998</v>
      </c>
      <c r="V53" s="275">
        <f>IF(U53=dur_type_d,T53,IF(U53=dur_type_w,IF(Work_D_Only_Bool,T53*5,T53*7),IF(U53=dur_type_m,IF(Work_D_Only_Bool,NETWORKDAYS.INTL(S53,DATE(YEAR(S53),MONTH(S53)+T53,DAY(S53)-1),WE_Days,Holiday_Days),DATE(YEAR(S53),MONTH(S53)+T53,DAY(S53))-S53),"ERROR")))</f>
        <v>5</v>
      </c>
      <c r="W53" s="49"/>
      <c r="X53" s="179">
        <f>IF(V53&gt;0,S53+V53-1,S53+V53+1)</f>
        <v>44300</v>
      </c>
      <c r="Y53" s="47">
        <f>IF(S53&lt;&gt;"",IF($GE$7,W53,X53),"")</f>
        <v>44300</v>
      </c>
      <c r="Z53" s="179">
        <f>IF(T53&gt;0,S53,Y53)</f>
        <v>44296</v>
      </c>
      <c r="AA53" s="179">
        <f>IF(T53&gt;0,Y53,S53)</f>
        <v>44300</v>
      </c>
      <c r="AB53" s="48">
        <v>0</v>
      </c>
      <c r="AC53" s="179">
        <f t="shared" ref="AC53:AC54" si="131">INT(Z53+AB53*(AA53-Z53))</f>
        <v>44296</v>
      </c>
      <c r="AD53" s="204">
        <f>IF(AND(AB53&lt;1,AC53&lt;$DC$7),0,1)</f>
        <v>0</v>
      </c>
      <c r="AE53" s="49"/>
      <c r="AF53" s="49"/>
      <c r="AG53" s="49"/>
      <c r="AH53" s="49"/>
      <c r="AI53" s="49"/>
      <c r="AJ53" s="224"/>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B53" s="9"/>
      <c r="JC53" s="9"/>
      <c r="JD53" s="9"/>
      <c r="JE53" s="9"/>
      <c r="JF53" s="9"/>
      <c r="JG53" s="9"/>
      <c r="JH53" s="9"/>
      <c r="JI53" s="9"/>
      <c r="JJ53" s="9"/>
      <c r="JK53" s="9"/>
      <c r="JL53" s="9"/>
      <c r="JM53" s="9"/>
      <c r="JN53" s="9"/>
      <c r="JO53" s="9"/>
      <c r="JP53" s="9"/>
      <c r="JQ53" s="9"/>
      <c r="JR53" s="9"/>
      <c r="JS53" s="9"/>
      <c r="JT53" s="9"/>
      <c r="JU53" s="9"/>
      <c r="JV53" s="9"/>
      <c r="JW53" s="9"/>
      <c r="JX53" s="9"/>
      <c r="JY53" s="9"/>
      <c r="JZ53" s="9"/>
      <c r="KA53" s="9"/>
      <c r="KB53" s="9"/>
      <c r="KC53" s="9"/>
      <c r="KD53" s="9"/>
      <c r="KE53" s="9"/>
      <c r="KF53" s="9"/>
      <c r="KG53" s="9"/>
      <c r="KH53" s="9"/>
      <c r="KI53" s="9"/>
      <c r="KJ53" s="9"/>
      <c r="KK53" s="9"/>
      <c r="KL53" s="9"/>
      <c r="KM53" s="9"/>
      <c r="KN53" s="9"/>
      <c r="KO53" s="9"/>
      <c r="KP53" s="9"/>
      <c r="KQ53" s="9"/>
      <c r="KR53" s="9"/>
      <c r="KS53" s="9"/>
      <c r="KT53" s="9"/>
      <c r="KU53" s="9"/>
      <c r="KV53" s="9"/>
      <c r="KW53" s="9"/>
      <c r="KX53" s="9"/>
      <c r="KY53" s="9"/>
      <c r="KZ53" s="9"/>
      <c r="LA53" s="9"/>
      <c r="LB53" s="9"/>
      <c r="LC53" s="9"/>
      <c r="LD53" s="9"/>
      <c r="LE53" s="9"/>
      <c r="LF53" s="9"/>
      <c r="LG53" s="9"/>
      <c r="LH53" s="9"/>
      <c r="LI53" s="9"/>
      <c r="LJ53" s="9"/>
      <c r="LK53" s="9"/>
      <c r="LL53" s="9"/>
      <c r="LM53" s="9"/>
      <c r="LN53" s="9"/>
      <c r="LO53" s="9"/>
      <c r="LP53" s="9"/>
      <c r="LQ53" s="9"/>
      <c r="LR53" s="9"/>
      <c r="LS53" s="9"/>
      <c r="LT53" s="9"/>
      <c r="LU53" s="9"/>
      <c r="LV53" s="9"/>
      <c r="LW53" s="9"/>
      <c r="LX53" s="9"/>
      <c r="LY53" s="9"/>
      <c r="LZ53" s="9"/>
      <c r="MA53" s="9"/>
      <c r="MB53" s="9"/>
      <c r="MC53" s="9"/>
      <c r="MD53" s="9"/>
      <c r="ME53" s="9"/>
      <c r="MF53" s="9"/>
      <c r="MG53" s="9"/>
      <c r="MH53" s="9"/>
      <c r="MI53" s="9"/>
      <c r="MJ53" s="9"/>
      <c r="MK53" s="9"/>
      <c r="ML53" s="9"/>
      <c r="MM53" s="9"/>
      <c r="MN53" s="9"/>
      <c r="MO53" s="9"/>
      <c r="MP53" s="9"/>
      <c r="MQ53" s="9"/>
      <c r="MR53" s="9"/>
      <c r="MS53" s="9"/>
      <c r="MT53" s="9"/>
      <c r="MU53" s="9"/>
      <c r="MV53" s="9"/>
      <c r="MW53" s="9"/>
      <c r="MX53" s="9"/>
      <c r="MY53" s="9"/>
      <c r="MZ53" s="9"/>
      <c r="NA53" s="9"/>
      <c r="NB53" s="9"/>
      <c r="NC53" s="9"/>
      <c r="ND53" s="9"/>
      <c r="NE53" s="9"/>
      <c r="NF53" s="9"/>
      <c r="NG53" s="9"/>
      <c r="NH53" s="9"/>
      <c r="NI53" s="9"/>
      <c r="NJ53" s="9"/>
      <c r="NK53" s="9"/>
      <c r="NL53" s="9"/>
      <c r="NM53" s="9"/>
      <c r="NN53" s="9"/>
      <c r="NO53" s="9"/>
      <c r="NP53" s="9"/>
      <c r="NQ53" s="9"/>
      <c r="NR53" s="9"/>
      <c r="NS53" s="9"/>
      <c r="NT53" s="9"/>
      <c r="NU53" s="9"/>
      <c r="NV53" s="9"/>
      <c r="NW53" s="9"/>
      <c r="NX53" s="9"/>
      <c r="NY53" s="9"/>
      <c r="NZ53" s="9"/>
      <c r="OA53" s="9"/>
      <c r="OB53" s="9"/>
      <c r="OC53" s="9"/>
      <c r="OD53" s="9"/>
      <c r="OE53" s="9"/>
      <c r="OF53" s="9"/>
      <c r="OG53" s="9"/>
      <c r="OH53" s="9"/>
      <c r="OI53" s="9"/>
      <c r="OJ53" s="9"/>
      <c r="OK53" s="9"/>
      <c r="OL53" s="9"/>
      <c r="OM53" s="9"/>
      <c r="ON53" s="9"/>
      <c r="OO53" s="9"/>
      <c r="OP53" s="9"/>
      <c r="OQ53" s="9"/>
      <c r="OR53" s="9"/>
      <c r="OS53" s="9"/>
      <c r="OT53" s="9"/>
      <c r="OU53" s="9"/>
      <c r="OV53" s="9"/>
      <c r="OW53" s="9"/>
      <c r="OX53" s="9"/>
      <c r="OY53" s="9"/>
      <c r="OZ53" s="9"/>
      <c r="PA53" s="9"/>
      <c r="PB53" s="9"/>
      <c r="PC53" s="9"/>
      <c r="PD53" s="9"/>
      <c r="PE53" s="9"/>
      <c r="PF53" s="9"/>
      <c r="PG53" s="9"/>
      <c r="PH53" s="9"/>
      <c r="PI53" s="9"/>
      <c r="PJ53" s="9"/>
      <c r="PK53" s="9"/>
      <c r="PL53" s="9"/>
      <c r="PM53" s="9"/>
      <c r="PN53" s="9"/>
      <c r="PO53" s="9"/>
      <c r="PP53" s="9"/>
      <c r="PQ53" s="9"/>
      <c r="PR53" s="9"/>
      <c r="PS53" s="9"/>
      <c r="PT53" s="9"/>
      <c r="PU53" s="9"/>
      <c r="PV53" s="9"/>
      <c r="PW53" s="9"/>
      <c r="PX53" s="9"/>
      <c r="PY53" s="9"/>
      <c r="PZ53" s="9"/>
      <c r="QA53" s="9"/>
      <c r="QB53" s="9"/>
      <c r="QC53" s="9"/>
      <c r="QD53" s="9"/>
      <c r="QE53" s="9"/>
      <c r="QF53" s="9"/>
      <c r="QG53" s="9"/>
      <c r="QH53" s="9"/>
      <c r="QI53" s="9"/>
      <c r="QJ53" s="9"/>
      <c r="QK53" s="9"/>
      <c r="QL53" s="9"/>
      <c r="QM53" s="9"/>
      <c r="QN53" s="9"/>
      <c r="QO53" s="9"/>
      <c r="QP53" s="9"/>
      <c r="QQ53" s="9"/>
      <c r="QR53" s="9"/>
      <c r="QS53" s="9"/>
      <c r="QT53" s="9"/>
      <c r="QU53" s="9"/>
      <c r="QV53" s="9"/>
      <c r="QW53" s="9"/>
      <c r="QX53" s="9"/>
      <c r="QY53" s="9"/>
      <c r="QZ53" s="9"/>
      <c r="RA53" s="9"/>
      <c r="RB53" s="9"/>
      <c r="RC53" s="9"/>
      <c r="RD53" s="9"/>
      <c r="RE53" s="9"/>
      <c r="RF53" s="9"/>
      <c r="RG53" s="9"/>
      <c r="RH53" s="9"/>
      <c r="RI53" s="9"/>
      <c r="RJ53" s="9"/>
      <c r="RK53" s="9"/>
      <c r="RL53" s="9"/>
      <c r="RM53" s="9"/>
      <c r="RN53" s="9"/>
      <c r="RO53" s="9"/>
      <c r="RP53" s="9"/>
      <c r="RQ53" s="9"/>
      <c r="RR53" s="9"/>
      <c r="RS53" s="9"/>
      <c r="RT53" s="9"/>
      <c r="RU53" s="9"/>
      <c r="RV53" s="9"/>
      <c r="RW53" s="9"/>
      <c r="RX53" s="9"/>
      <c r="RY53" s="9"/>
      <c r="RZ53" s="9"/>
      <c r="SA53" s="9"/>
      <c r="SB53" s="9"/>
      <c r="SC53" s="9"/>
      <c r="SD53" s="9"/>
      <c r="SE53" s="9"/>
      <c r="SF53" s="9"/>
      <c r="SG53" s="9"/>
      <c r="SH53" s="9"/>
      <c r="SI53" s="9"/>
      <c r="SJ53" s="9"/>
      <c r="SK53" s="9"/>
      <c r="SL53" s="9"/>
      <c r="SM53" s="9"/>
      <c r="SN53" s="9"/>
      <c r="SO53" s="9"/>
      <c r="SP53" s="9"/>
      <c r="SQ53" s="9"/>
      <c r="SR53" s="9"/>
      <c r="SS53" s="9"/>
      <c r="ST53" s="9"/>
      <c r="SU53" s="9"/>
      <c r="SV53" s="9"/>
      <c r="SW53" s="9"/>
      <c r="SX53" s="9"/>
      <c r="SY53" s="9"/>
      <c r="SZ53" s="9"/>
      <c r="TA53" s="9"/>
      <c r="TB53" s="9"/>
      <c r="TC53" s="9"/>
      <c r="TD53" s="9"/>
      <c r="TE53" s="9"/>
      <c r="TF53" s="9"/>
      <c r="TG53" s="9"/>
      <c r="TH53" s="9"/>
      <c r="TI53" s="9"/>
      <c r="TJ53" s="9"/>
      <c r="TK53" s="9"/>
      <c r="TL53" s="9"/>
      <c r="TM53" s="9"/>
      <c r="TN53" s="9"/>
      <c r="TO53" s="9"/>
      <c r="TP53" s="9"/>
      <c r="TQ53" s="9"/>
      <c r="TR53" s="9"/>
      <c r="TS53" s="9"/>
      <c r="TT53" s="9"/>
      <c r="TU53" s="9"/>
      <c r="TV53" s="9"/>
      <c r="TW53" s="9"/>
      <c r="TX53" s="9"/>
      <c r="TY53" s="9"/>
      <c r="TZ53" s="9"/>
      <c r="UA53" s="9"/>
      <c r="UB53" s="9"/>
      <c r="UC53" s="9"/>
      <c r="UD53" s="9"/>
      <c r="UE53" s="9"/>
      <c r="UF53" s="9"/>
      <c r="UG53" s="9"/>
      <c r="UH53" s="9"/>
      <c r="UI53" s="9"/>
      <c r="UJ53" s="9"/>
      <c r="UK53" s="9"/>
      <c r="UL53" s="9"/>
      <c r="UM53" s="9"/>
    </row>
    <row r="54" spans="1:559" s="133" customFormat="1" ht="11.25" customHeight="1">
      <c r="A54" s="50"/>
      <c r="B54" s="10"/>
      <c r="C54" s="10"/>
      <c r="D54" s="50"/>
      <c r="E54" s="50"/>
      <c r="F54" s="50"/>
      <c r="G54" s="50"/>
      <c r="H54" s="50"/>
      <c r="I54" s="50"/>
      <c r="J54" s="50"/>
      <c r="K54" s="277" t="s">
        <v>1034</v>
      </c>
      <c r="L54" s="46"/>
      <c r="M54" s="357" t="s">
        <v>1744</v>
      </c>
      <c r="N54" s="357"/>
      <c r="O54" s="357"/>
      <c r="P54" s="8"/>
      <c r="Q54" s="275" t="str">
        <f>IF(ISERROR(VLOOKUP(P54,Tools!$D$11:$J$57,7,FALSE)),"",VLOOKUP(P54,Tools!$D$11:$J$57,7,FALSE))</f>
        <v/>
      </c>
      <c r="R54" s="275">
        <v>2</v>
      </c>
      <c r="S54" s="216">
        <v>44296</v>
      </c>
      <c r="T54" s="8">
        <v>5</v>
      </c>
      <c r="U54" s="8" t="s">
        <v>998</v>
      </c>
      <c r="V54" s="275">
        <f>IF(U54=dur_type_d,T54,IF(U54=dur_type_w,IF(Work_D_Only_Bool,T54*5,T54*7),IF(U54=dur_type_m,IF(Work_D_Only_Bool,NETWORKDAYS.INTL(S54,DATE(YEAR(S54),MONTH(S54)+T54,DAY(S54)-1),WE_Days,Holiday_Days),DATE(YEAR(S54),MONTH(S54)+T54,DAY(S54))-S54),"ERROR")))</f>
        <v>5</v>
      </c>
      <c r="W54" s="49"/>
      <c r="X54" s="179">
        <f>IF(V54&gt;0,S54+V54-1,S54+V54+1)</f>
        <v>44300</v>
      </c>
      <c r="Y54" s="47">
        <f>IF(S54&lt;&gt;"",IF($GE$7,W54,X54),"")</f>
        <v>44300</v>
      </c>
      <c r="Z54" s="179">
        <f>IF(T54&gt;0,S54,Y54)</f>
        <v>44296</v>
      </c>
      <c r="AA54" s="179">
        <f>IF(T54&gt;0,Y54,S54)</f>
        <v>44300</v>
      </c>
      <c r="AB54" s="48">
        <v>0</v>
      </c>
      <c r="AC54" s="179">
        <f t="shared" si="131"/>
        <v>44296</v>
      </c>
      <c r="AD54" s="204">
        <f>IF(AND(AB54&lt;1,AC54&lt;$DC$7),0,1)</f>
        <v>0</v>
      </c>
      <c r="AE54" s="49"/>
      <c r="AF54" s="49"/>
      <c r="AG54" s="49"/>
      <c r="AH54" s="49"/>
      <c r="AI54" s="49"/>
      <c r="AJ54" s="224"/>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B54" s="9"/>
      <c r="JC54" s="9"/>
      <c r="JD54" s="9"/>
      <c r="JE54" s="9"/>
      <c r="JF54" s="9"/>
      <c r="JG54" s="9"/>
      <c r="JH54" s="9"/>
      <c r="JI54" s="9"/>
      <c r="JJ54" s="9"/>
      <c r="JK54" s="9"/>
      <c r="JL54" s="9"/>
      <c r="JM54" s="9"/>
      <c r="JN54" s="9"/>
      <c r="JO54" s="9"/>
      <c r="JP54" s="9"/>
      <c r="JQ54" s="9"/>
      <c r="JR54" s="9"/>
      <c r="JS54" s="9"/>
      <c r="JT54" s="9"/>
      <c r="JU54" s="9"/>
      <c r="JV54" s="9"/>
      <c r="JW54" s="9"/>
      <c r="JX54" s="9"/>
      <c r="JY54" s="9"/>
      <c r="JZ54" s="9"/>
      <c r="KA54" s="9"/>
      <c r="KB54" s="9"/>
      <c r="KC54" s="9"/>
      <c r="KD54" s="9"/>
      <c r="KE54" s="9"/>
      <c r="KF54" s="9"/>
      <c r="KG54" s="9"/>
      <c r="KH54" s="9"/>
      <c r="KI54" s="9"/>
      <c r="KJ54" s="9"/>
      <c r="KK54" s="9"/>
      <c r="KL54" s="9"/>
      <c r="KM54" s="9"/>
      <c r="KN54" s="9"/>
      <c r="KO54" s="9"/>
      <c r="KP54" s="9"/>
      <c r="KQ54" s="9"/>
      <c r="KR54" s="9"/>
      <c r="KS54" s="9"/>
      <c r="KT54" s="9"/>
      <c r="KU54" s="9"/>
      <c r="KV54" s="9"/>
      <c r="KW54" s="9"/>
      <c r="KX54" s="9"/>
      <c r="KY54" s="9"/>
      <c r="KZ54" s="9"/>
      <c r="LA54" s="9"/>
      <c r="LB54" s="9"/>
      <c r="LC54" s="9"/>
      <c r="LD54" s="9"/>
      <c r="LE54" s="9"/>
      <c r="LF54" s="9"/>
      <c r="LG54" s="9"/>
      <c r="LH54" s="9"/>
      <c r="LI54" s="9"/>
      <c r="LJ54" s="9"/>
      <c r="LK54" s="9"/>
      <c r="LL54" s="9"/>
      <c r="LM54" s="9"/>
      <c r="LN54" s="9"/>
      <c r="LO54" s="9"/>
      <c r="LP54" s="9"/>
      <c r="LQ54" s="9"/>
      <c r="LR54" s="9"/>
      <c r="LS54" s="9"/>
      <c r="LT54" s="9"/>
      <c r="LU54" s="9"/>
      <c r="LV54" s="9"/>
      <c r="LW54" s="9"/>
      <c r="LX54" s="9"/>
      <c r="LY54" s="9"/>
      <c r="LZ54" s="9"/>
      <c r="MA54" s="9"/>
      <c r="MB54" s="9"/>
      <c r="MC54" s="9"/>
      <c r="MD54" s="9"/>
      <c r="ME54" s="9"/>
      <c r="MF54" s="9"/>
      <c r="MG54" s="9"/>
      <c r="MH54" s="9"/>
      <c r="MI54" s="9"/>
      <c r="MJ54" s="9"/>
      <c r="MK54" s="9"/>
      <c r="ML54" s="9"/>
      <c r="MM54" s="9"/>
      <c r="MN54" s="9"/>
      <c r="MO54" s="9"/>
      <c r="MP54" s="9"/>
      <c r="MQ54" s="9"/>
      <c r="MR54" s="9"/>
      <c r="MS54" s="9"/>
      <c r="MT54" s="9"/>
      <c r="MU54" s="9"/>
      <c r="MV54" s="9"/>
      <c r="MW54" s="9"/>
      <c r="MX54" s="9"/>
      <c r="MY54" s="9"/>
      <c r="MZ54" s="9"/>
      <c r="NA54" s="9"/>
      <c r="NB54" s="9"/>
      <c r="NC54" s="9"/>
      <c r="ND54" s="9"/>
      <c r="NE54" s="9"/>
      <c r="NF54" s="9"/>
      <c r="NG54" s="9"/>
      <c r="NH54" s="9"/>
      <c r="NI54" s="9"/>
      <c r="NJ54" s="9"/>
      <c r="NK54" s="9"/>
      <c r="NL54" s="9"/>
      <c r="NM54" s="9"/>
      <c r="NN54" s="9"/>
      <c r="NO54" s="9"/>
      <c r="NP54" s="9"/>
      <c r="NQ54" s="9"/>
      <c r="NR54" s="9"/>
      <c r="NS54" s="9"/>
      <c r="NT54" s="9"/>
      <c r="NU54" s="9"/>
      <c r="NV54" s="9"/>
      <c r="NW54" s="9"/>
      <c r="NX54" s="9"/>
      <c r="NY54" s="9"/>
      <c r="NZ54" s="9"/>
      <c r="OA54" s="9"/>
      <c r="OB54" s="9"/>
      <c r="OC54" s="9"/>
      <c r="OD54" s="9"/>
      <c r="OE54" s="9"/>
      <c r="OF54" s="9"/>
      <c r="OG54" s="9"/>
      <c r="OH54" s="9"/>
      <c r="OI54" s="9"/>
      <c r="OJ54" s="9"/>
      <c r="OK54" s="9"/>
      <c r="OL54" s="9"/>
      <c r="OM54" s="9"/>
      <c r="ON54" s="9"/>
      <c r="OO54" s="9"/>
      <c r="OP54" s="9"/>
      <c r="OQ54" s="9"/>
      <c r="OR54" s="9"/>
      <c r="OS54" s="9"/>
      <c r="OT54" s="9"/>
      <c r="OU54" s="9"/>
      <c r="OV54" s="9"/>
      <c r="OW54" s="9"/>
      <c r="OX54" s="9"/>
      <c r="OY54" s="9"/>
      <c r="OZ54" s="9"/>
      <c r="PA54" s="9"/>
      <c r="PB54" s="9"/>
      <c r="PC54" s="9"/>
      <c r="PD54" s="9"/>
      <c r="PE54" s="9"/>
      <c r="PF54" s="9"/>
      <c r="PG54" s="9"/>
      <c r="PH54" s="9"/>
      <c r="PI54" s="9"/>
      <c r="PJ54" s="9"/>
      <c r="PK54" s="9"/>
      <c r="PL54" s="9"/>
      <c r="PM54" s="9"/>
      <c r="PN54" s="9"/>
      <c r="PO54" s="9"/>
      <c r="PP54" s="9"/>
      <c r="PQ54" s="9"/>
      <c r="PR54" s="9"/>
      <c r="PS54" s="9"/>
      <c r="PT54" s="9"/>
      <c r="PU54" s="9"/>
      <c r="PV54" s="9"/>
      <c r="PW54" s="9"/>
      <c r="PX54" s="9"/>
      <c r="PY54" s="9"/>
      <c r="PZ54" s="9"/>
      <c r="QA54" s="9"/>
      <c r="QB54" s="9"/>
      <c r="QC54" s="9"/>
      <c r="QD54" s="9"/>
      <c r="QE54" s="9"/>
      <c r="QF54" s="9"/>
      <c r="QG54" s="9"/>
      <c r="QH54" s="9"/>
      <c r="QI54" s="9"/>
      <c r="QJ54" s="9"/>
      <c r="QK54" s="9"/>
      <c r="QL54" s="9"/>
      <c r="QM54" s="9"/>
      <c r="QN54" s="9"/>
      <c r="QO54" s="9"/>
      <c r="QP54" s="9"/>
      <c r="QQ54" s="9"/>
      <c r="QR54" s="9"/>
      <c r="QS54" s="9"/>
      <c r="QT54" s="9"/>
      <c r="QU54" s="9"/>
      <c r="QV54" s="9"/>
      <c r="QW54" s="9"/>
      <c r="QX54" s="9"/>
      <c r="QY54" s="9"/>
      <c r="QZ54" s="9"/>
      <c r="RA54" s="9"/>
      <c r="RB54" s="9"/>
      <c r="RC54" s="9"/>
      <c r="RD54" s="9"/>
      <c r="RE54" s="9"/>
      <c r="RF54" s="9"/>
      <c r="RG54" s="9"/>
      <c r="RH54" s="9"/>
      <c r="RI54" s="9"/>
      <c r="RJ54" s="9"/>
      <c r="RK54" s="9"/>
      <c r="RL54" s="9"/>
      <c r="RM54" s="9"/>
      <c r="RN54" s="9"/>
      <c r="RO54" s="9"/>
      <c r="RP54" s="9"/>
      <c r="RQ54" s="9"/>
      <c r="RR54" s="9"/>
      <c r="RS54" s="9"/>
      <c r="RT54" s="9"/>
      <c r="RU54" s="9"/>
      <c r="RV54" s="9"/>
      <c r="RW54" s="9"/>
      <c r="RX54" s="9"/>
      <c r="RY54" s="9"/>
      <c r="RZ54" s="9"/>
      <c r="SA54" s="9"/>
      <c r="SB54" s="9"/>
      <c r="SC54" s="9"/>
      <c r="SD54" s="9"/>
      <c r="SE54" s="9"/>
      <c r="SF54" s="9"/>
      <c r="SG54" s="9"/>
      <c r="SH54" s="9"/>
      <c r="SI54" s="9"/>
      <c r="SJ54" s="9"/>
      <c r="SK54" s="9"/>
      <c r="SL54" s="9"/>
      <c r="SM54" s="9"/>
      <c r="SN54" s="9"/>
      <c r="SO54" s="9"/>
      <c r="SP54" s="9"/>
      <c r="SQ54" s="9"/>
      <c r="SR54" s="9"/>
      <c r="SS54" s="9"/>
      <c r="ST54" s="9"/>
      <c r="SU54" s="9"/>
      <c r="SV54" s="9"/>
      <c r="SW54" s="9"/>
      <c r="SX54" s="9"/>
      <c r="SY54" s="9"/>
      <c r="SZ54" s="9"/>
      <c r="TA54" s="9"/>
      <c r="TB54" s="9"/>
      <c r="TC54" s="9"/>
      <c r="TD54" s="9"/>
      <c r="TE54" s="9"/>
      <c r="TF54" s="9"/>
      <c r="TG54" s="9"/>
      <c r="TH54" s="9"/>
      <c r="TI54" s="9"/>
      <c r="TJ54" s="9"/>
      <c r="TK54" s="9"/>
      <c r="TL54" s="9"/>
      <c r="TM54" s="9"/>
      <c r="TN54" s="9"/>
      <c r="TO54" s="9"/>
      <c r="TP54" s="9"/>
      <c r="TQ54" s="9"/>
      <c r="TR54" s="9"/>
      <c r="TS54" s="9"/>
      <c r="TT54" s="9"/>
      <c r="TU54" s="9"/>
      <c r="TV54" s="9"/>
      <c r="TW54" s="9"/>
      <c r="TX54" s="9"/>
      <c r="TY54" s="9"/>
      <c r="TZ54" s="9"/>
      <c r="UA54" s="9"/>
      <c r="UB54" s="9"/>
      <c r="UC54" s="9"/>
      <c r="UD54" s="9"/>
      <c r="UE54" s="9"/>
      <c r="UF54" s="9"/>
      <c r="UG54" s="9"/>
      <c r="UH54" s="9"/>
      <c r="UI54" s="9"/>
      <c r="UJ54" s="9"/>
      <c r="UK54" s="9"/>
      <c r="UL54" s="9"/>
      <c r="UM54" s="9"/>
    </row>
    <row r="55" spans="1:559" s="133" customFormat="1" ht="12.75" customHeight="1"/>
    <row r="56" spans="1:559" s="133" customFormat="1" ht="12.75" customHeight="1"/>
    <row r="57" spans="1:559" s="133" customFormat="1" ht="12.75" customHeight="1"/>
    <row r="58" spans="1:559" s="133" customFormat="1" ht="12.75" customHeight="1"/>
    <row r="59" spans="1:559" s="133" customFormat="1" ht="12.75" customHeight="1"/>
    <row r="60" spans="1:559" s="133" customFormat="1" ht="12.75" customHeight="1"/>
    <row r="61" spans="1:559" s="133" customFormat="1" ht="12.75" customHeight="1"/>
    <row r="62" spans="1:559" s="133" customFormat="1" ht="12.75" customHeight="1"/>
    <row r="63" spans="1:559" s="133" customFormat="1" ht="12.75" customHeight="1"/>
    <row r="64" spans="1:559" s="133" customFormat="1" ht="12.75" customHeight="1"/>
    <row r="65" s="133" customFormat="1" ht="12.75" customHeight="1"/>
    <row r="66" s="133" customFormat="1" ht="12.75" customHeight="1"/>
    <row r="67" s="133" customFormat="1" ht="12.75" customHeight="1"/>
    <row r="68" s="133" customFormat="1" ht="12.75" customHeight="1"/>
    <row r="69" s="133" customFormat="1" ht="12.75" customHeight="1"/>
    <row r="70" s="133" customFormat="1" ht="12.75" customHeight="1"/>
    <row r="71" s="133" customFormat="1" ht="12.75" customHeight="1"/>
    <row r="72" s="133" customFormat="1" ht="12.75" customHeight="1"/>
    <row r="73" s="133" customFormat="1" ht="12.75" customHeight="1"/>
    <row r="74" s="133" customFormat="1" ht="12.75" customHeight="1"/>
    <row r="75" s="133" customFormat="1" ht="12.75" customHeight="1"/>
    <row r="76" s="133" customFormat="1" ht="12.75" customHeight="1"/>
    <row r="77" s="133" customFormat="1" ht="12.75" customHeight="1"/>
    <row r="78" s="133" customFormat="1" ht="12.75" customHeight="1"/>
    <row r="79" s="133" customFormat="1" ht="12.75" customHeight="1"/>
    <row r="80" s="133" customFormat="1" ht="12.75" customHeight="1"/>
    <row r="81" s="133" customFormat="1" ht="12.75" customHeight="1"/>
    <row r="82" s="133" customFormat="1" ht="12.75" customHeight="1"/>
    <row r="83" s="133" customFormat="1" ht="12.75" customHeight="1"/>
    <row r="84" s="133" customFormat="1" ht="12.75" customHeight="1"/>
    <row r="85" s="133" customFormat="1" ht="12.75" customHeight="1"/>
    <row r="86" s="133" customFormat="1" ht="12.75" customHeight="1"/>
    <row r="87" s="133" customFormat="1" ht="12.75" customHeight="1"/>
    <row r="88" s="133" customFormat="1" ht="12.75" customHeight="1"/>
    <row r="89" s="133" customFormat="1" ht="12.75" customHeight="1"/>
    <row r="90" s="133" customFormat="1" ht="12.75" customHeight="1"/>
    <row r="91" s="133" customFormat="1" ht="12.75" customHeight="1"/>
    <row r="92" s="133" customFormat="1" ht="12.75" customHeight="1"/>
    <row r="93" s="133" customFormat="1" ht="12.75" customHeight="1"/>
    <row r="94" s="133" customFormat="1" ht="12.75" customHeight="1"/>
    <row r="95" s="133" customFormat="1" ht="12.75" customHeight="1"/>
    <row r="96" s="133" customFormat="1" ht="12.75" customHeight="1"/>
    <row r="97" s="133" customFormat="1" ht="12.75" customHeight="1"/>
    <row r="98" s="133" customFormat="1" ht="12.75" customHeight="1"/>
    <row r="99" s="133" customFormat="1" ht="12.75" customHeight="1"/>
    <row r="100" s="133" customFormat="1" ht="12.75" customHeight="1"/>
    <row r="101" s="133" customFormat="1" ht="12.75" customHeight="1"/>
    <row r="102" s="133" customFormat="1" ht="12.75" customHeight="1"/>
    <row r="103" s="133" customFormat="1" ht="12.75" customHeight="1"/>
    <row r="104" s="133" customFormat="1" ht="12.75" customHeight="1"/>
    <row r="105" s="133" customFormat="1" ht="12.75" customHeight="1"/>
    <row r="106" s="133" customFormat="1" ht="12.75" customHeight="1"/>
    <row r="107" s="133" customFormat="1" ht="12.75" customHeight="1"/>
    <row r="108" s="133" customFormat="1" ht="12.75" customHeight="1"/>
    <row r="109" s="133" customFormat="1" ht="12.75" customHeight="1"/>
    <row r="110" s="133" customFormat="1" ht="12.75" customHeight="1"/>
    <row r="111" s="133" customFormat="1" ht="12.75" customHeight="1"/>
    <row r="112" s="133" customFormat="1" ht="12.75" customHeight="1"/>
    <row r="113" s="133" customFormat="1" ht="12.75" customHeight="1"/>
    <row r="114" s="133" customFormat="1" ht="12.75" customHeight="1"/>
    <row r="115" s="133" customFormat="1" ht="12.75" customHeight="1"/>
    <row r="116" s="133" customFormat="1" ht="12.75" customHeight="1"/>
    <row r="117" s="133" customFormat="1" ht="12.75" customHeight="1"/>
    <row r="118" s="133" customFormat="1" ht="12.75" customHeight="1"/>
    <row r="119" s="133" customFormat="1" ht="12.75" customHeight="1"/>
    <row r="120" s="133" customFormat="1" ht="12.75" customHeight="1"/>
    <row r="121" s="133" customFormat="1" ht="12.75" customHeight="1"/>
    <row r="122" s="133" customFormat="1" ht="12.75" customHeight="1"/>
    <row r="123" s="133" customFormat="1" ht="12.75" customHeight="1"/>
    <row r="124" s="133" customFormat="1" ht="12.75" customHeight="1"/>
    <row r="125" s="133" customFormat="1" ht="12.75" customHeight="1"/>
    <row r="126" s="133" customFormat="1" ht="12.75" customHeight="1"/>
    <row r="127" s="133" customFormat="1" ht="12.75" customHeight="1"/>
    <row r="128" s="133" customFormat="1" ht="12.75" customHeight="1"/>
    <row r="129" s="133" customFormat="1" ht="12.75" customHeight="1"/>
    <row r="130" s="133" customFormat="1" ht="12.75" customHeight="1"/>
    <row r="131" s="133" customFormat="1" ht="12.75" customHeight="1"/>
    <row r="132" s="133" customFormat="1" ht="12.75" customHeight="1"/>
    <row r="133" s="133" customFormat="1" ht="12.75" customHeight="1"/>
    <row r="134" s="133" customFormat="1" ht="12.75" customHeight="1"/>
    <row r="135" s="133" customFormat="1" ht="12.75" customHeight="1"/>
    <row r="136" s="133" customFormat="1" ht="12.75" customHeight="1"/>
    <row r="137" s="133" customFormat="1" ht="12.75" customHeight="1"/>
    <row r="138" s="133" customFormat="1" ht="12.75" customHeight="1"/>
    <row r="139" s="133" customFormat="1" ht="12.75" customHeight="1"/>
    <row r="140" s="133" customFormat="1" ht="12.75" customHeight="1"/>
    <row r="141" s="133" customFormat="1" ht="12.75" customHeight="1"/>
    <row r="142" s="133" customFormat="1" ht="12.75" customHeight="1"/>
    <row r="143" s="133" customFormat="1" ht="12.75" customHeight="1"/>
    <row r="144" s="133" customFormat="1" ht="12.75" customHeight="1"/>
    <row r="145" s="133" customFormat="1" ht="12.75" customHeight="1"/>
    <row r="146" s="133" customFormat="1" ht="12.75" customHeight="1"/>
    <row r="147" s="133" customFormat="1" ht="12.75" customHeight="1"/>
    <row r="148" s="133" customFormat="1" ht="12.75" customHeight="1"/>
    <row r="149" s="133" customFormat="1" ht="12.75" customHeight="1"/>
    <row r="150" s="133" customFormat="1" ht="12.75" customHeight="1"/>
    <row r="151" s="133" customFormat="1" ht="12.75" customHeight="1"/>
    <row r="152" s="133" customFormat="1" ht="12.75" customHeight="1"/>
    <row r="153" s="133" customFormat="1" ht="12.75" customHeight="1"/>
    <row r="154" s="133" customFormat="1" ht="12.75" customHeight="1"/>
    <row r="155" s="133" customFormat="1" ht="12.75" customHeight="1"/>
    <row r="156" s="133" customFormat="1" ht="12.75" customHeight="1"/>
    <row r="157" s="133" customFormat="1" ht="12.75" customHeight="1"/>
    <row r="158" s="133" customFormat="1" ht="12.75" customHeight="1"/>
    <row r="159" s="133" customFormat="1" ht="12.75" customHeight="1"/>
    <row r="160" s="133" customFormat="1" ht="12.75" customHeight="1"/>
    <row r="161" s="133" customFormat="1" ht="12.75" customHeight="1"/>
    <row r="162" s="133" customFormat="1" ht="12.75" customHeight="1"/>
    <row r="163" s="133" customFormat="1" ht="12.75" customHeight="1"/>
    <row r="164" s="133" customFormat="1" ht="12.75" customHeight="1"/>
    <row r="165" s="133" customFormat="1" ht="12.75" customHeight="1"/>
    <row r="166" s="133" customFormat="1" ht="12.75" customHeight="1"/>
    <row r="167" s="133" customFormat="1" ht="12.75" customHeight="1"/>
    <row r="168" s="133" customFormat="1" ht="12.75" customHeight="1"/>
    <row r="169" s="133" customFormat="1" ht="12.75" customHeight="1"/>
    <row r="170" s="133" customFormat="1" ht="12.75" customHeight="1"/>
    <row r="171" s="133" customFormat="1" ht="12.75" customHeight="1"/>
    <row r="172" s="133" customFormat="1" ht="12.75" customHeight="1"/>
    <row r="173" s="133" customFormat="1" ht="12.75" customHeight="1"/>
    <row r="174" s="133" customFormat="1" ht="12.75" customHeight="1"/>
    <row r="175" s="133" customFormat="1" ht="12.75" customHeight="1"/>
    <row r="176" s="133" customFormat="1" ht="12.75" customHeight="1"/>
    <row r="177" s="133" customFormat="1" ht="12.75" customHeight="1"/>
    <row r="178" s="133" customFormat="1" ht="12.75" customHeight="1"/>
    <row r="179" s="133" customFormat="1" ht="12.75" customHeight="1"/>
    <row r="180" s="133" customFormat="1" ht="12.75" customHeight="1"/>
    <row r="181" s="133" customFormat="1" ht="12.75" customHeight="1"/>
    <row r="182" s="133" customFormat="1" ht="12.75" customHeight="1"/>
    <row r="183" s="133" customFormat="1" ht="12.75" customHeight="1"/>
    <row r="184" s="133" customFormat="1" ht="12.75" customHeight="1"/>
    <row r="185" s="133" customFormat="1" ht="12.75" customHeight="1"/>
    <row r="186" s="133" customFormat="1" ht="12.75" customHeight="1"/>
    <row r="187" s="133" customFormat="1" ht="12.75" customHeight="1"/>
    <row r="188" s="133" customFormat="1" ht="12.75" customHeight="1"/>
    <row r="189" s="133" customFormat="1" ht="12.75" customHeight="1"/>
    <row r="190" s="133" customFormat="1" ht="12.75" customHeight="1"/>
    <row r="191" s="133" customFormat="1" ht="12.75" customHeight="1"/>
    <row r="192" s="133" customFormat="1" ht="12.75" customHeight="1"/>
    <row r="193" s="133" customFormat="1" ht="12.75" customHeight="1"/>
    <row r="194" s="133" customFormat="1" ht="12.75" customHeight="1"/>
    <row r="195" s="133" customFormat="1" ht="12.75" customHeight="1"/>
    <row r="196" s="133" customFormat="1" ht="12.75" customHeight="1"/>
    <row r="197" s="133" customFormat="1" ht="12.75" customHeight="1"/>
    <row r="198" s="133" customFormat="1" ht="12.75" customHeight="1"/>
    <row r="199" s="133" customFormat="1" ht="12.75" customHeight="1"/>
    <row r="200" s="133" customFormat="1" ht="12.75" customHeight="1"/>
    <row r="201" s="133" customFormat="1" ht="12.75" customHeight="1"/>
    <row r="202" s="133" customFormat="1" ht="12.75" customHeight="1"/>
    <row r="203" s="133" customFormat="1" ht="12.75" customHeight="1"/>
    <row r="204" s="133" customFormat="1" ht="12.75" customHeight="1"/>
    <row r="205" s="133" customFormat="1" ht="12.75" customHeight="1"/>
    <row r="206" s="133" customFormat="1" ht="12.75" customHeight="1"/>
    <row r="207" s="133" customFormat="1" ht="12.75" customHeight="1"/>
    <row r="208" s="133" customFormat="1" ht="12.75" customHeight="1"/>
    <row r="209" s="133" customFormat="1" ht="12.75" customHeight="1"/>
    <row r="210" s="133" customFormat="1" ht="12.75" customHeight="1"/>
    <row r="211" s="133" customFormat="1" ht="12.75" customHeight="1"/>
    <row r="212" s="133" customFormat="1" ht="12.75" customHeight="1"/>
    <row r="213" s="133" customFormat="1" ht="12.75" customHeight="1"/>
    <row r="214" s="133" customFormat="1" ht="12.75" customHeight="1"/>
    <row r="215" s="133" customFormat="1" ht="12.75" customHeight="1"/>
    <row r="216" s="133" customFormat="1" ht="12.75" customHeight="1"/>
    <row r="217" s="133" customFormat="1" ht="12.75" customHeight="1"/>
    <row r="218" s="133" customFormat="1" ht="12.75" customHeight="1"/>
    <row r="219" s="133" customFormat="1" ht="12.75" customHeight="1"/>
    <row r="220" s="133" customFormat="1" ht="12.75" customHeight="1"/>
    <row r="221" s="133" customFormat="1" ht="12.75" customHeight="1"/>
    <row r="222" s="133" customFormat="1" ht="12.75" customHeight="1"/>
    <row r="223" s="133" customFormat="1" ht="12.75" customHeight="1"/>
    <row r="224" s="133" customFormat="1" ht="12.75" customHeight="1"/>
    <row r="225" s="133" customFormat="1" ht="12.75" customHeight="1"/>
    <row r="226" s="133" customFormat="1" ht="12.75" customHeight="1"/>
    <row r="227" s="133" customFormat="1" ht="12.75" customHeight="1"/>
    <row r="228" s="133" customFormat="1" ht="12.75" customHeight="1"/>
    <row r="229" s="133" customFormat="1" ht="12.75" customHeight="1"/>
    <row r="230" s="133" customFormat="1" ht="12.75" customHeight="1"/>
    <row r="231" s="133" customFormat="1" ht="12.75" customHeight="1"/>
    <row r="232" s="133" customFormat="1" ht="12.75" customHeight="1"/>
    <row r="233" s="133" customFormat="1" ht="12.75" customHeight="1"/>
    <row r="234" s="133" customFormat="1" ht="12.75" customHeight="1"/>
    <row r="235" s="133" customFormat="1" ht="12.75" customHeight="1"/>
    <row r="236" s="133" customFormat="1" ht="12.75" customHeight="1"/>
    <row r="237" s="133" customFormat="1" ht="12.75" customHeight="1"/>
    <row r="238" s="133" customFormat="1" ht="12.75" customHeight="1"/>
    <row r="239" s="133" customFormat="1" ht="12.75" customHeight="1"/>
    <row r="240" s="133" customFormat="1" ht="12.75" customHeight="1"/>
    <row r="241" s="133" customFormat="1" ht="12.75" customHeight="1"/>
    <row r="242" s="133" customFormat="1" ht="12.75" customHeight="1"/>
    <row r="243" s="133" customFormat="1" ht="12.75" customHeight="1"/>
    <row r="244" s="133" customFormat="1" ht="12.75" customHeight="1"/>
    <row r="245" s="133" customFormat="1" ht="12.75" customHeight="1"/>
    <row r="246" s="133" customFormat="1" ht="12.75" customHeight="1"/>
    <row r="247" s="133" customFormat="1" ht="12.75" customHeight="1"/>
    <row r="248" s="133" customFormat="1" ht="12.75" customHeight="1"/>
    <row r="249" s="133" customFormat="1" ht="12.75" customHeight="1"/>
    <row r="250" s="133" customFormat="1" ht="12.75" customHeight="1"/>
    <row r="251" s="133" customFormat="1" ht="12.75" customHeight="1"/>
    <row r="252" s="133" customFormat="1" ht="12.75" customHeight="1"/>
    <row r="253" s="133" customFormat="1" ht="12.75" customHeight="1"/>
    <row r="254" s="133" customFormat="1" ht="12.75" customHeight="1"/>
    <row r="255" s="133" customFormat="1" ht="12.75" customHeight="1"/>
    <row r="256" s="133" customFormat="1" ht="12.75" customHeight="1"/>
    <row r="257" s="133" customFormat="1" ht="12.75" customHeight="1"/>
    <row r="258" s="133" customFormat="1" ht="12.75" customHeight="1"/>
    <row r="259" s="133" customFormat="1" ht="12.75" customHeight="1"/>
    <row r="260" s="133" customFormat="1" ht="12.75" customHeight="1"/>
    <row r="261" s="133" customFormat="1" ht="12.75" customHeight="1"/>
    <row r="262" s="133" customFormat="1" ht="12.75" customHeight="1"/>
    <row r="263" s="133" customFormat="1" ht="12.75" customHeight="1"/>
    <row r="264" s="133" customFormat="1" ht="12.75" customHeight="1"/>
    <row r="265" s="133" customFormat="1" ht="12.75" customHeight="1"/>
    <row r="266" s="133" customFormat="1" ht="12.75" customHeight="1"/>
    <row r="267" s="133" customFormat="1" ht="12.75" customHeight="1"/>
    <row r="268" s="133" customFormat="1" ht="12.75" customHeight="1"/>
    <row r="269" s="133" customFormat="1" ht="12.75" customHeight="1"/>
    <row r="270" s="133" customFormat="1" ht="12.75" customHeight="1"/>
    <row r="271" s="133" customFormat="1" ht="12.75" customHeight="1"/>
    <row r="272" s="133" customFormat="1" ht="12.75" customHeight="1"/>
    <row r="273" s="133" customFormat="1" ht="12.75" customHeight="1"/>
    <row r="274" s="133" customFormat="1" ht="12.75" customHeight="1"/>
    <row r="275" s="133" customFormat="1" ht="12.75" customHeight="1"/>
    <row r="276" s="133" customFormat="1" ht="12.75" customHeight="1"/>
    <row r="277" s="133" customFormat="1" ht="12.75" customHeight="1"/>
    <row r="278" s="133" customFormat="1" ht="12.75" customHeight="1"/>
    <row r="279" s="133" customFormat="1" ht="12.75" customHeight="1"/>
    <row r="280" s="133" customFormat="1" ht="12.75" customHeight="1"/>
    <row r="281" s="133" customFormat="1" ht="12.75" customHeight="1"/>
    <row r="282" s="133" customFormat="1" ht="12.75" customHeight="1"/>
    <row r="283" s="133" customFormat="1" ht="12.75" customHeight="1"/>
    <row r="284" s="133" customFormat="1" ht="12.75" customHeight="1"/>
    <row r="285" s="133" customFormat="1" ht="12.75" customHeight="1"/>
    <row r="286" s="133" customFormat="1" ht="12.75" customHeight="1"/>
    <row r="287" s="133" customFormat="1" ht="12.75" customHeight="1"/>
    <row r="288" s="133" customFormat="1" ht="12.75" customHeight="1"/>
    <row r="289" s="133" customFormat="1" ht="12.75" customHeight="1"/>
    <row r="290" s="133" customFormat="1" ht="12.75" customHeight="1"/>
    <row r="291" s="133" customFormat="1" ht="12.75" customHeight="1"/>
    <row r="292" s="133" customFormat="1" ht="12.75" customHeight="1"/>
    <row r="293" s="133" customFormat="1" ht="12.75" customHeight="1"/>
    <row r="294" s="133" customFormat="1" ht="12.75" customHeight="1"/>
    <row r="295" s="133" customFormat="1" ht="12.75" customHeight="1"/>
    <row r="296" s="133" customFormat="1" ht="12.75" customHeight="1"/>
    <row r="297" s="133" customFormat="1" ht="12.75" customHeight="1"/>
    <row r="298" s="133" customFormat="1" ht="12.75" customHeight="1"/>
    <row r="299" s="133" customFormat="1" ht="12.75" customHeight="1"/>
    <row r="300" s="133" customFormat="1" ht="12.75" customHeight="1"/>
    <row r="301" s="133" customFormat="1" ht="12.75" customHeight="1"/>
    <row r="302" s="133" customFormat="1" ht="12.75" customHeight="1"/>
    <row r="303" s="133" customFormat="1" ht="12.75" customHeight="1"/>
    <row r="304" s="133" customFormat="1" ht="12.75" customHeight="1"/>
    <row r="305" s="133" customFormat="1" ht="12.75" customHeight="1"/>
    <row r="306" s="133" customFormat="1" ht="12.75" customHeight="1"/>
    <row r="307" s="133" customFormat="1" ht="12.75" customHeight="1"/>
    <row r="308" s="133" customFormat="1" ht="12.75" customHeight="1"/>
    <row r="309" s="133" customFormat="1" ht="12.75" customHeight="1"/>
    <row r="310" s="133" customFormat="1" ht="12.75" customHeight="1"/>
    <row r="311" s="133" customFormat="1" ht="12.75" customHeight="1"/>
    <row r="312" s="133" customFormat="1" ht="12.75" customHeight="1"/>
    <row r="313" s="133" customFormat="1" ht="12.75" customHeight="1"/>
    <row r="314" s="133" customFormat="1" ht="12.75" customHeight="1"/>
    <row r="315" s="133" customFormat="1" ht="12.75" customHeight="1"/>
    <row r="316" s="133" customFormat="1" ht="12.75" customHeight="1"/>
    <row r="317" s="133" customFormat="1" ht="12.75" customHeight="1"/>
    <row r="318" s="133" customFormat="1" ht="12.75" customHeight="1"/>
    <row r="319" s="133" customFormat="1" ht="12.75" customHeight="1"/>
    <row r="320" s="133" customFormat="1" ht="12.75" customHeight="1"/>
    <row r="321" s="133" customFormat="1" ht="12.75" customHeight="1"/>
    <row r="322" s="133" customFormat="1" ht="12.75" customHeight="1"/>
    <row r="323" s="133" customFormat="1" ht="12.75" customHeight="1"/>
    <row r="324" s="133" customFormat="1" ht="12.75" customHeight="1"/>
    <row r="325" s="133" customFormat="1" ht="12.75" customHeight="1"/>
    <row r="326" s="133" customFormat="1" ht="12.75" customHeight="1"/>
    <row r="327" s="133" customFormat="1" ht="12.75" customHeight="1"/>
    <row r="328" s="133" customFormat="1" ht="12.75" customHeight="1"/>
    <row r="329" s="133" customFormat="1" ht="12.75" customHeight="1"/>
    <row r="330" s="133" customFormat="1" ht="12.75" customHeight="1"/>
    <row r="331" s="133" customFormat="1" ht="12.75" customHeight="1"/>
    <row r="332" s="133" customFormat="1" ht="12.75" customHeight="1"/>
    <row r="333" s="133" customFormat="1" ht="12.75" customHeight="1"/>
    <row r="334" s="133" customFormat="1" ht="12.75" customHeight="1"/>
    <row r="335" s="133" customFormat="1" ht="12.75" customHeight="1"/>
    <row r="336" s="133" customFormat="1" ht="12.75" customHeight="1"/>
    <row r="337" s="133" customFormat="1" ht="12.75" customHeight="1"/>
    <row r="338" s="133" customFormat="1" ht="12.75" customHeight="1"/>
    <row r="339" s="133" customFormat="1" ht="12.75" customHeight="1"/>
    <row r="340" s="133" customFormat="1" ht="12.75" customHeight="1"/>
    <row r="341" s="133" customFormat="1" ht="12.75" customHeight="1"/>
    <row r="342" s="133" customFormat="1" ht="12.75" customHeight="1"/>
    <row r="343" s="133" customFormat="1" ht="12.75" customHeight="1"/>
    <row r="344" s="133" customFormat="1" ht="12.75" customHeight="1"/>
    <row r="345" s="133" customFormat="1" ht="12.75" customHeight="1"/>
    <row r="346" s="133" customFormat="1" ht="12.75" customHeight="1"/>
    <row r="347" s="133" customFormat="1" ht="12.75" customHeight="1"/>
    <row r="348" s="133" customFormat="1" ht="12.75" customHeight="1"/>
    <row r="349" s="133" customFormat="1" ht="12.75" customHeight="1"/>
    <row r="350" s="133" customFormat="1" ht="12.75" customHeight="1"/>
    <row r="351" s="133" customFormat="1" ht="12.75" customHeight="1"/>
    <row r="352" s="133" customFormat="1" ht="12.75" customHeight="1"/>
    <row r="353" s="133" customFormat="1" ht="12.75" customHeight="1"/>
    <row r="354" s="133" customFormat="1" ht="12.75" customHeight="1"/>
    <row r="355" s="133" customFormat="1" ht="12.75" customHeight="1"/>
    <row r="356" s="133" customFormat="1" ht="12.75" customHeight="1"/>
    <row r="357" s="133" customFormat="1" ht="12.75" customHeight="1"/>
    <row r="358" s="133" customFormat="1" ht="12.75" customHeight="1"/>
    <row r="359" s="133" customFormat="1" ht="12.75" customHeight="1"/>
    <row r="360" s="133" customFormat="1" ht="12.75" customHeight="1"/>
    <row r="361" s="133" customFormat="1" ht="12.75" customHeight="1"/>
    <row r="362" s="133" customFormat="1" ht="12.75" customHeight="1"/>
    <row r="363" s="133" customFormat="1" ht="12.75" customHeight="1"/>
    <row r="364" s="133" customFormat="1" ht="12.75" customHeight="1"/>
    <row r="365" s="133" customFormat="1" ht="12.75" customHeight="1"/>
    <row r="366" s="133" customFormat="1" ht="12.75" customHeight="1"/>
    <row r="367" s="133" customFormat="1" ht="12.75" customHeight="1"/>
    <row r="368" s="133" customFormat="1" ht="12.75" customHeight="1"/>
    <row r="369" s="133" customFormat="1" ht="12.75" customHeight="1"/>
    <row r="370" s="133" customFormat="1" ht="12.75" customHeight="1"/>
    <row r="371" s="133" customFormat="1" ht="12.75" customHeight="1"/>
    <row r="372" s="133" customFormat="1" ht="12.75" customHeight="1"/>
    <row r="373" s="133" customFormat="1" ht="12.75" customHeight="1"/>
    <row r="374" s="133" customFormat="1" ht="12.75" customHeight="1"/>
    <row r="375" s="133" customFormat="1" ht="12.75" customHeight="1"/>
    <row r="376" s="133" customFormat="1" ht="12.75" customHeight="1"/>
    <row r="377" s="133" customFormat="1" ht="12.75" customHeight="1"/>
    <row r="378" s="133" customFormat="1" ht="12.75" customHeight="1"/>
    <row r="379" s="133" customFormat="1" ht="12.75" customHeight="1"/>
    <row r="380" s="133" customFormat="1" ht="12.75" customHeight="1"/>
    <row r="381" s="133" customFormat="1" ht="12.75" customHeight="1"/>
    <row r="382" s="133" customFormat="1" ht="12.75" customHeight="1"/>
    <row r="383" s="133" customFormat="1" ht="12.75" customHeight="1"/>
    <row r="384" s="133" customFormat="1" ht="12.75" customHeight="1"/>
    <row r="385" s="133" customFormat="1" ht="12.75" customHeight="1"/>
    <row r="386" s="133" customFormat="1" ht="12.75" customHeight="1"/>
    <row r="387" s="133" customFormat="1" ht="12.75" customHeight="1"/>
    <row r="388" s="133" customFormat="1" ht="12.75" customHeight="1"/>
    <row r="389" s="133" customFormat="1" ht="12.75" customHeight="1"/>
    <row r="390" s="133" customFormat="1" ht="12.75" customHeight="1"/>
    <row r="391" s="133" customFormat="1" ht="12.75" customHeight="1"/>
    <row r="392" s="133" customFormat="1" ht="12.75" customHeight="1"/>
    <row r="393" s="133" customFormat="1" ht="12.75" customHeight="1"/>
    <row r="394" s="133" customFormat="1" ht="12.75" customHeight="1"/>
    <row r="395" s="133" customFormat="1" ht="12.75" customHeight="1"/>
    <row r="396" s="133" customFormat="1" ht="12.75" customHeight="1"/>
    <row r="397" s="133" customFormat="1" ht="12.75" customHeight="1"/>
    <row r="398" s="133" customFormat="1" ht="12.75" customHeight="1"/>
    <row r="399" s="133" customFormat="1" ht="12.75" customHeight="1"/>
    <row r="400" s="133" customFormat="1" ht="12.75" customHeight="1"/>
    <row r="401" s="133" customFormat="1" ht="12.75" customHeight="1"/>
    <row r="402" s="133" customFormat="1" ht="12.75" customHeight="1"/>
    <row r="403" s="133" customFormat="1" ht="12.75" customHeight="1"/>
    <row r="404" s="133" customFormat="1" ht="12.75" customHeight="1"/>
    <row r="405" s="133" customFormat="1" ht="12.75" customHeight="1"/>
    <row r="406" s="133" customFormat="1" ht="12.75" customHeight="1"/>
    <row r="407" s="133" customFormat="1" ht="12.75" customHeight="1"/>
    <row r="408" s="133" customFormat="1" ht="12.75" customHeight="1"/>
    <row r="409" s="133" customFormat="1" ht="12.75" customHeight="1"/>
    <row r="410" s="133" customFormat="1" ht="12.75" customHeight="1"/>
    <row r="411" s="133" customFormat="1" ht="12.75" customHeight="1"/>
    <row r="412" s="133" customFormat="1" ht="12.75" customHeight="1"/>
    <row r="413" s="133" customFormat="1" ht="12.75" customHeight="1"/>
    <row r="414" s="133" customFormat="1" ht="12.75" customHeight="1"/>
    <row r="415" s="133" customFormat="1" ht="12.75" customHeight="1"/>
    <row r="416" s="133" customFormat="1" ht="12.75" customHeight="1"/>
    <row r="417" s="133" customFormat="1" ht="12.75" customHeight="1"/>
    <row r="418" s="133" customFormat="1" ht="12.75" customHeight="1"/>
    <row r="419" s="133" customFormat="1" ht="12.75" customHeight="1"/>
    <row r="420" s="133" customFormat="1" ht="12.75" customHeight="1"/>
    <row r="421" s="133" customFormat="1" ht="12.75" customHeight="1"/>
    <row r="422" s="133" customFormat="1" ht="12.75" customHeight="1"/>
    <row r="423" s="133" customFormat="1" ht="12.75" customHeight="1"/>
    <row r="424" s="133" customFormat="1" ht="12.75" customHeight="1"/>
    <row r="425" s="133" customFormat="1" ht="12.75" customHeight="1"/>
    <row r="426" s="133" customFormat="1" ht="12.75" customHeight="1"/>
    <row r="427" s="133" customFormat="1" ht="12.75" customHeight="1"/>
    <row r="428" s="133" customFormat="1" ht="12.75" customHeight="1"/>
    <row r="429" s="133" customFormat="1" ht="12.75" customHeight="1"/>
    <row r="430" s="133" customFormat="1" ht="12.75" customHeight="1"/>
    <row r="431" s="133" customFormat="1" ht="12.75" customHeight="1"/>
    <row r="432" s="133" customFormat="1" ht="12.75" customHeight="1"/>
    <row r="433" s="133" customFormat="1" ht="12.75" customHeight="1"/>
    <row r="434" s="133" customFormat="1" ht="12.75" customHeight="1"/>
    <row r="435" s="133" customFormat="1" ht="12.75" customHeight="1"/>
    <row r="436" s="133" customFormat="1" ht="12.75" customHeight="1"/>
    <row r="437" s="133" customFormat="1" ht="12.75" customHeight="1"/>
    <row r="438" s="133" customFormat="1" ht="12.75" customHeight="1"/>
    <row r="439" s="133" customFormat="1" ht="12.75" customHeight="1"/>
    <row r="440" s="133" customFormat="1" ht="12.75" customHeight="1"/>
    <row r="441" s="133" customFormat="1" ht="12.75" customHeight="1"/>
    <row r="442" s="133" customFormat="1" ht="12.75" customHeight="1"/>
    <row r="443" s="133" customFormat="1" ht="12.75" customHeight="1"/>
    <row r="444" s="133" customFormat="1" ht="12.75" customHeight="1"/>
    <row r="445" s="133" customFormat="1" ht="12.75" customHeight="1"/>
    <row r="446" s="133" customFormat="1" ht="12.75" customHeight="1"/>
    <row r="447" s="133" customFormat="1" ht="12.75" customHeight="1"/>
    <row r="448" s="133" customFormat="1" ht="12.75" customHeight="1"/>
    <row r="449" s="133" customFormat="1" ht="12.75" customHeight="1"/>
    <row r="450" s="133" customFormat="1" ht="12.75" customHeight="1"/>
    <row r="451" s="133" customFormat="1" ht="12.75" customHeight="1"/>
    <row r="452" s="133" customFormat="1" ht="12.75" customHeight="1"/>
    <row r="453" s="133" customFormat="1" ht="12.75" customHeight="1"/>
    <row r="454" s="133" customFormat="1" ht="12.75" customHeight="1"/>
    <row r="455" s="133" customFormat="1" ht="12.75" customHeight="1"/>
    <row r="456" s="133" customFormat="1" ht="12.75" customHeight="1"/>
    <row r="457" s="133" customFormat="1" ht="12.75" customHeight="1"/>
    <row r="458" s="133" customFormat="1" ht="12.75" customHeight="1"/>
    <row r="459" s="133" customFormat="1" ht="12.75" customHeight="1"/>
    <row r="460" s="133" customFormat="1" ht="12.75" customHeight="1"/>
    <row r="461" s="133" customFormat="1" ht="12.75" customHeight="1"/>
    <row r="462" s="133" customFormat="1" ht="12.75" customHeight="1"/>
    <row r="463" s="133" customFormat="1" ht="12.75" customHeight="1"/>
    <row r="464" s="133" customFormat="1" ht="12.75" customHeight="1"/>
    <row r="465" s="133" customFormat="1" ht="12.75" customHeight="1"/>
    <row r="466" s="133" customFormat="1" ht="12.75" customHeight="1"/>
    <row r="467" s="133" customFormat="1" ht="12.75" customHeight="1"/>
    <row r="468" s="133" customFormat="1" ht="12.75" customHeight="1"/>
    <row r="469" s="133" customFormat="1" ht="12.75" customHeight="1"/>
    <row r="470" s="133" customFormat="1" ht="12.75" customHeight="1"/>
    <row r="471" s="133" customFormat="1" ht="12.75" customHeight="1"/>
    <row r="472" s="133" customFormat="1" ht="12.75" customHeight="1"/>
    <row r="473" s="133" customFormat="1" ht="12.75" customHeight="1"/>
    <row r="474" s="133" customFormat="1" ht="12.75" customHeight="1"/>
    <row r="475" s="133" customFormat="1" ht="12.75" customHeight="1"/>
    <row r="476" s="133" customFormat="1" ht="12.75" customHeight="1"/>
    <row r="477" s="133" customFormat="1" ht="12.75" customHeight="1"/>
    <row r="478" s="133" customFormat="1" ht="12.75" customHeight="1"/>
    <row r="479" s="133" customFormat="1" ht="12.75" customHeight="1"/>
    <row r="480" s="133" customFormat="1" ht="12.75" customHeight="1"/>
    <row r="481" s="133" customFormat="1" ht="12.75" customHeight="1"/>
    <row r="482" s="133" customFormat="1" ht="12.75" customHeight="1"/>
    <row r="483" s="133" customFormat="1" ht="12.75" customHeight="1"/>
    <row r="484" s="133" customFormat="1" ht="12.75" customHeight="1"/>
    <row r="485" s="133" customFormat="1" ht="12.75" customHeight="1"/>
    <row r="486" s="133" customFormat="1" ht="12.75" customHeight="1"/>
    <row r="487" s="133" customFormat="1" ht="12.75" customHeight="1"/>
    <row r="488" s="133" customFormat="1" ht="12.75" customHeight="1"/>
    <row r="489" s="133" customFormat="1" ht="12.75" customHeight="1"/>
    <row r="490" s="133" customFormat="1" ht="12.75" customHeight="1"/>
    <row r="491" s="133" customFormat="1" ht="12.75" customHeight="1"/>
    <row r="492" s="133" customFormat="1" ht="12.75" customHeight="1"/>
    <row r="493" s="133" customFormat="1" ht="12.75" customHeight="1"/>
    <row r="494" s="133" customFormat="1" ht="12.75" customHeight="1"/>
    <row r="495" s="133" customFormat="1" ht="12.75" customHeight="1"/>
    <row r="496" s="133" customFormat="1" ht="12.75" customHeight="1"/>
    <row r="497" s="133" customFormat="1" ht="12.75" customHeight="1"/>
    <row r="498" s="133" customFormat="1" ht="12.75" customHeight="1"/>
    <row r="499" s="133" customFormat="1" ht="12.75" customHeight="1"/>
    <row r="500" s="133" customFormat="1" ht="12.75" customHeight="1"/>
    <row r="501" s="133" customFormat="1" ht="12.75" customHeight="1"/>
    <row r="502" s="133" customFormat="1" ht="12.75" customHeight="1"/>
    <row r="503" s="133" customFormat="1" ht="12.75" customHeight="1"/>
    <row r="504" s="133" customFormat="1" ht="12.75" customHeight="1"/>
    <row r="505" s="133" customFormat="1" ht="12.75" customHeight="1"/>
    <row r="506" s="133" customFormat="1" ht="12.75" customHeight="1"/>
    <row r="507" s="133" customFormat="1" ht="12.75" customHeight="1"/>
    <row r="508" s="133" customFormat="1" ht="12.75" customHeight="1"/>
    <row r="509" s="133" customFormat="1" ht="12.75" customHeight="1"/>
    <row r="510" s="133" customFormat="1" ht="12.75" customHeight="1"/>
    <row r="511" s="133" customFormat="1" ht="12.75" customHeight="1"/>
    <row r="512" s="133" customFormat="1" ht="12.75" customHeight="1"/>
    <row r="513" s="133" customFormat="1" ht="12.75" customHeight="1"/>
    <row r="514" s="133" customFormat="1" ht="12.75" customHeight="1"/>
    <row r="515" s="133" customFormat="1" ht="12.75" customHeight="1"/>
    <row r="516" s="133" customFormat="1" ht="12.75" customHeight="1"/>
    <row r="517" s="133" customFormat="1" ht="12.75" customHeight="1"/>
    <row r="518" s="133" customFormat="1" ht="12.75" customHeight="1"/>
    <row r="519" s="133" customFormat="1" ht="12.75" customHeight="1"/>
    <row r="520" s="133" customFormat="1" ht="12.75" customHeight="1"/>
    <row r="521" s="133" customFormat="1" ht="12.75" customHeight="1"/>
    <row r="522" s="133" customFormat="1" ht="12.75" customHeight="1"/>
    <row r="523" s="133" customFormat="1" ht="12.75" customHeight="1"/>
    <row r="524" s="133" customFormat="1" ht="12.75" customHeight="1"/>
    <row r="525" s="133" customFormat="1" ht="12.75" customHeight="1"/>
    <row r="526" s="133" customFormat="1" ht="12.75" customHeight="1"/>
    <row r="527" s="133" customFormat="1" ht="12.75" customHeight="1"/>
    <row r="528" s="133" customFormat="1" ht="12.75" customHeight="1"/>
    <row r="529" s="133" customFormat="1" ht="12.75" customHeight="1"/>
    <row r="530" s="133" customFormat="1" ht="12.75" customHeight="1"/>
    <row r="531" s="133" customFormat="1" ht="12.75" customHeight="1"/>
    <row r="532" s="133" customFormat="1" ht="12.75" customHeight="1"/>
    <row r="533" s="133" customFormat="1" ht="12.75" customHeight="1"/>
    <row r="534" s="133" customFormat="1" ht="12.75" customHeight="1"/>
    <row r="535" s="133" customFormat="1" ht="12.75" customHeight="1"/>
    <row r="536" s="133" customFormat="1" ht="12.75" customHeight="1"/>
    <row r="537" s="133" customFormat="1" ht="12.75" customHeight="1"/>
    <row r="538" s="133" customFormat="1" ht="12.75" customHeight="1"/>
    <row r="539" s="133" customFormat="1" ht="12.75" customHeight="1"/>
    <row r="540" s="133" customFormat="1" ht="12.75" customHeight="1"/>
    <row r="541" s="133" customFormat="1" ht="12.75" customHeight="1"/>
    <row r="542" s="133" customFormat="1" ht="12.75" customHeight="1"/>
    <row r="543" s="133" customFormat="1" ht="12.75" customHeight="1"/>
    <row r="544" s="133" customFormat="1" ht="12.75" customHeight="1"/>
    <row r="545" s="133" customFormat="1" ht="12.75" customHeight="1"/>
    <row r="546" s="133" customFormat="1" ht="12.75" customHeight="1"/>
    <row r="547" s="133" customFormat="1" ht="12.75" customHeight="1"/>
    <row r="548" s="133" customFormat="1" ht="12.75" customHeight="1"/>
    <row r="549" s="133" customFormat="1" ht="12.75" customHeight="1"/>
    <row r="550" s="133" customFormat="1" ht="12.75" customHeight="1"/>
    <row r="551" s="133" customFormat="1" ht="12.75" customHeight="1"/>
    <row r="552" s="133" customFormat="1" ht="12.75" customHeight="1"/>
    <row r="553" s="133" customFormat="1" ht="12.75" customHeight="1"/>
    <row r="554" s="133" customFormat="1" ht="12.75" customHeight="1"/>
    <row r="555" s="133" customFormat="1" ht="12.75" customHeight="1"/>
    <row r="556" s="133" customFormat="1" ht="12.75" customHeight="1"/>
    <row r="557" s="133" customFormat="1" ht="12.75" customHeight="1"/>
    <row r="558" s="133" customFormat="1" ht="12.75" customHeight="1"/>
    <row r="559" s="133" customFormat="1" ht="12.75" customHeight="1"/>
    <row r="560" s="133" customFormat="1" ht="12.75" customHeight="1"/>
    <row r="561" s="133" customFormat="1" ht="12.75" customHeight="1"/>
    <row r="562" s="133" customFormat="1" ht="12.75" customHeight="1"/>
    <row r="563" s="133" customFormat="1" ht="12.75" customHeight="1"/>
    <row r="564" s="133" customFormat="1" ht="12.75" customHeight="1"/>
    <row r="565" s="133" customFormat="1" ht="12.75" customHeight="1"/>
    <row r="566" s="133" customFormat="1" ht="12.75" customHeight="1"/>
    <row r="567" s="133" customFormat="1" ht="12.75" customHeight="1"/>
    <row r="568" s="133" customFormat="1" ht="12.75" customHeight="1"/>
    <row r="569" s="133" customFormat="1" ht="12.75" customHeight="1"/>
    <row r="570" s="133" customFormat="1" ht="12.75" customHeight="1"/>
    <row r="571" s="133" customFormat="1" ht="12.75" customHeight="1"/>
    <row r="572" s="133" customFormat="1" ht="12.75" customHeight="1"/>
    <row r="573" s="133" customFormat="1" ht="12.75" customHeight="1"/>
    <row r="574" s="133" customFormat="1" ht="12.75" customHeight="1"/>
    <row r="575" s="133" customFormat="1" ht="12.75" customHeight="1"/>
    <row r="576" s="133" customFormat="1" ht="12.75" customHeight="1"/>
    <row r="577" s="133" customFormat="1" ht="12.75" customHeight="1"/>
    <row r="578" s="133" customFormat="1" ht="12.75" customHeight="1"/>
    <row r="579" s="133" customFormat="1" ht="12.75" customHeight="1"/>
    <row r="580" s="133" customFormat="1" ht="12.75" customHeight="1"/>
    <row r="581" s="133" customFormat="1" ht="12.75" customHeight="1"/>
    <row r="582" s="133" customFormat="1" ht="12.75" customHeight="1"/>
    <row r="583" s="133" customFormat="1" ht="12.75" customHeight="1"/>
    <row r="584" s="133" customFormat="1" ht="12.75" customHeight="1"/>
    <row r="585" s="133" customFormat="1" ht="12.75" customHeight="1"/>
    <row r="586" s="133" customFormat="1" ht="12.75" customHeight="1"/>
    <row r="587" s="133" customFormat="1" ht="12.75" customHeight="1"/>
    <row r="588" s="133" customFormat="1" ht="12.75" customHeight="1"/>
    <row r="589" s="133" customFormat="1" ht="12.75" customHeight="1"/>
    <row r="590" s="133" customFormat="1" ht="12.75" customHeight="1"/>
    <row r="591" s="133" customFormat="1" ht="12.75" customHeight="1"/>
    <row r="592" s="133" customFormat="1" ht="12.75" customHeight="1"/>
    <row r="593" s="133" customFormat="1" ht="12.75" customHeight="1"/>
    <row r="594" s="133" customFormat="1" ht="12.75" customHeight="1"/>
    <row r="595" s="133" customFormat="1" ht="12.75" customHeight="1"/>
    <row r="596" s="133" customFormat="1" ht="12.75" customHeight="1"/>
    <row r="597" s="133" customFormat="1" ht="12.75" customHeight="1"/>
    <row r="598" s="133" customFormat="1" ht="12.75" customHeight="1"/>
    <row r="599" s="133" customFormat="1" ht="12.75" customHeight="1"/>
    <row r="600" s="133" customFormat="1" ht="12.75" customHeight="1"/>
    <row r="601" s="133" customFormat="1" ht="12.75" customHeight="1"/>
    <row r="602" s="133" customFormat="1" ht="12.75" customHeight="1"/>
    <row r="603" s="133" customFormat="1" ht="12.75" customHeight="1"/>
    <row r="604" s="133" customFormat="1" ht="12.75" customHeight="1"/>
    <row r="605" s="133" customFormat="1" ht="12.75" customHeight="1"/>
    <row r="606" s="133" customFormat="1" ht="12.75" customHeight="1"/>
    <row r="607" s="133" customFormat="1" ht="12.75" customHeight="1"/>
    <row r="608" s="133" customFormat="1" ht="12.75" customHeight="1"/>
    <row r="609" s="133" customFormat="1" ht="12.75" customHeight="1"/>
    <row r="610" s="133" customFormat="1" ht="12.75" customHeight="1"/>
    <row r="611" s="133" customFormat="1" ht="12.75" customHeight="1"/>
    <row r="612" s="133" customFormat="1" ht="12.75" customHeight="1"/>
    <row r="613" s="133" customFormat="1" ht="12.75" customHeight="1"/>
    <row r="614" s="133" customFormat="1" ht="12.75" customHeight="1"/>
    <row r="615" s="133" customFormat="1" ht="12.75" customHeight="1"/>
    <row r="616" s="133" customFormat="1" ht="12.75" customHeight="1"/>
    <row r="617" s="133" customFormat="1" ht="12.75" customHeight="1"/>
    <row r="618" s="133" customFormat="1" ht="12.75" customHeight="1"/>
    <row r="619" s="133" customFormat="1" ht="12.75" customHeight="1"/>
    <row r="620" s="133" customFormat="1" ht="12.75" customHeight="1"/>
    <row r="621" s="133" customFormat="1" ht="12.75" customHeight="1"/>
    <row r="622" s="133" customFormat="1" ht="12.75" customHeight="1"/>
    <row r="623" s="133" customFormat="1" ht="12.75" customHeight="1"/>
    <row r="624" s="133" customFormat="1" ht="12.75" customHeight="1"/>
    <row r="625" s="133" customFormat="1" ht="12.75" customHeight="1"/>
    <row r="626" s="133" customFormat="1" ht="12.75" customHeight="1"/>
    <row r="627" s="133" customFormat="1" ht="12.75" customHeight="1"/>
    <row r="628" s="133" customFormat="1" ht="12.75" customHeight="1"/>
    <row r="629" s="133" customFormat="1" ht="12.75" customHeight="1"/>
    <row r="630" s="133" customFormat="1" ht="12.75" customHeight="1"/>
    <row r="631" s="133" customFormat="1" ht="12.75" customHeight="1"/>
    <row r="632" s="133" customFormat="1" ht="12.75" customHeight="1"/>
    <row r="633" s="133" customFormat="1" ht="12.75" customHeight="1"/>
    <row r="634" s="133" customFormat="1" ht="12.75" customHeight="1"/>
    <row r="635" s="133" customFormat="1" ht="12.75" customHeight="1"/>
    <row r="636" s="133" customFormat="1" ht="12.75" customHeight="1"/>
    <row r="637" s="133" customFormat="1" ht="12.75" customHeight="1"/>
    <row r="638" s="133" customFormat="1" ht="12.75" customHeight="1"/>
    <row r="639" s="133" customFormat="1" ht="12.75" customHeight="1"/>
    <row r="640" s="133" customFormat="1" ht="12.75" customHeight="1"/>
    <row r="641" s="133" customFormat="1" ht="12.75" customHeight="1"/>
    <row r="642" s="133" customFormat="1" ht="12.75" customHeight="1"/>
    <row r="643" s="133" customFormat="1" ht="12.75" customHeight="1"/>
    <row r="644" s="133" customFormat="1" ht="12.75" customHeight="1"/>
    <row r="645" s="133" customFormat="1" ht="12.75" customHeight="1"/>
    <row r="646" s="133" customFormat="1" ht="12.75" customHeight="1"/>
    <row r="647" s="133" customFormat="1" ht="12.75" customHeight="1"/>
    <row r="648" s="133" customFormat="1" ht="12.75" customHeight="1"/>
    <row r="649" s="133" customFormat="1" ht="12.75" customHeight="1"/>
    <row r="650" s="133" customFormat="1" ht="12.75" customHeight="1"/>
    <row r="651" s="133" customFormat="1" ht="12.75" customHeight="1"/>
    <row r="652" s="133" customFormat="1" ht="12.75" customHeight="1"/>
    <row r="653" s="133" customFormat="1" ht="12.75" customHeight="1"/>
    <row r="654" s="133" customFormat="1" ht="12.75" customHeight="1"/>
    <row r="655" s="133" customFormat="1" ht="12.75" customHeight="1"/>
    <row r="656" s="133" customFormat="1" ht="12.75" customHeight="1"/>
    <row r="657" s="133" customFormat="1" ht="12.75" customHeight="1"/>
    <row r="658" s="133" customFormat="1" ht="12.75" customHeight="1"/>
    <row r="659" s="133" customFormat="1" ht="12.75" customHeight="1"/>
    <row r="660" s="133" customFormat="1" ht="12.75" customHeight="1"/>
    <row r="661" s="133" customFormat="1" ht="12.75" customHeight="1"/>
    <row r="662" s="133" customFormat="1" ht="12.75" customHeight="1"/>
    <row r="663" s="133" customFormat="1" ht="12.75" customHeight="1"/>
    <row r="664" s="133" customFormat="1" ht="12.75" customHeight="1"/>
    <row r="665" s="133" customFormat="1" ht="12.75" customHeight="1"/>
    <row r="666" s="133" customFormat="1" ht="12.75" customHeight="1"/>
    <row r="667" s="133" customFormat="1" ht="12.75" customHeight="1"/>
    <row r="668" s="133" customFormat="1" ht="12.75" customHeight="1"/>
    <row r="669" s="133" customFormat="1" ht="12.75" customHeight="1"/>
    <row r="670" s="133" customFormat="1" ht="12.75" customHeight="1"/>
    <row r="671" s="133" customFormat="1" ht="12.75" customHeight="1"/>
    <row r="672" s="133" customFormat="1" ht="12.75" customHeight="1"/>
    <row r="673" s="133" customFormat="1" ht="12.75" customHeight="1"/>
    <row r="674" s="133" customFormat="1" ht="12.75" customHeight="1"/>
    <row r="675" s="133" customFormat="1" ht="12.75" customHeight="1"/>
    <row r="676" s="133" customFormat="1" ht="12.75" customHeight="1"/>
    <row r="677" s="133" customFormat="1" ht="12.75" customHeight="1"/>
    <row r="678" s="133" customFormat="1" ht="12.75" customHeight="1"/>
    <row r="679" s="133" customFormat="1" ht="12.75" customHeight="1"/>
    <row r="680" s="133" customFormat="1" ht="12.75" customHeight="1"/>
    <row r="681" s="133" customFormat="1" ht="12.75" customHeight="1"/>
    <row r="682" s="133" customFormat="1" ht="12.75" customHeight="1"/>
    <row r="683" s="133" customFormat="1" ht="12.75" customHeight="1"/>
    <row r="684" s="133" customFormat="1" ht="12.75" customHeight="1"/>
    <row r="685" s="133" customFormat="1" ht="12.75" customHeight="1"/>
    <row r="686" s="133" customFormat="1" ht="12.75" customHeight="1"/>
    <row r="687" s="133" customFormat="1" ht="12.75" customHeight="1"/>
    <row r="688" s="133" customFormat="1" ht="12.75" customHeight="1"/>
    <row r="689" s="133" customFormat="1" ht="12.75" customHeight="1"/>
    <row r="690" s="133" customFormat="1" ht="12.75" customHeight="1"/>
    <row r="691" s="133" customFormat="1" ht="12.75" customHeight="1"/>
    <row r="692" s="133" customFormat="1" ht="12.75" customHeight="1"/>
    <row r="693" s="133" customFormat="1" ht="12.75" customHeight="1"/>
    <row r="694" s="133" customFormat="1" ht="12.75" customHeight="1"/>
    <row r="695" s="133" customFormat="1" ht="12.75" customHeight="1"/>
    <row r="696" s="133" customFormat="1" ht="12.75" customHeight="1"/>
    <row r="697" s="133" customFormat="1" ht="12.75" customHeight="1"/>
    <row r="698" s="133" customFormat="1" ht="12.75" customHeight="1"/>
    <row r="699" s="133" customFormat="1" ht="12.75" customHeight="1"/>
    <row r="700" s="133" customFormat="1" ht="12.75" customHeight="1"/>
    <row r="701" s="133" customFormat="1" ht="12.75" customHeight="1"/>
    <row r="702" s="133" customFormat="1" ht="12.75" customHeight="1"/>
    <row r="703" s="133" customFormat="1" ht="12.75" customHeight="1"/>
    <row r="704" s="133" customFormat="1" ht="12.75" customHeight="1"/>
    <row r="705" s="133" customFormat="1" ht="12.75" customHeight="1"/>
    <row r="706" s="133" customFormat="1" ht="12.75" customHeight="1"/>
    <row r="707" s="133" customFormat="1" ht="12.75" customHeight="1"/>
    <row r="708" s="133" customFormat="1" ht="12.75" customHeight="1"/>
    <row r="709" s="133" customFormat="1" ht="12.75" customHeight="1"/>
    <row r="710" s="133" customFormat="1" ht="12.75" customHeight="1"/>
    <row r="711" s="133" customFormat="1" ht="12.75" customHeight="1"/>
    <row r="712" s="133" customFormat="1" ht="12.75" customHeight="1"/>
    <row r="713" s="133" customFormat="1" ht="12.75" customHeight="1"/>
    <row r="714" s="133" customFormat="1" ht="12.75" customHeight="1"/>
    <row r="715" s="133" customFormat="1" ht="12.75" customHeight="1"/>
    <row r="716" s="133" customFormat="1" ht="12.75" customHeight="1"/>
    <row r="717" s="133" customFormat="1" ht="12.75" customHeight="1"/>
    <row r="718" s="133" customFormat="1" ht="12.75" customHeight="1"/>
    <row r="719" s="133" customFormat="1" ht="12.75" customHeight="1"/>
    <row r="720" s="133" customFormat="1" ht="12.75" customHeight="1"/>
    <row r="721" s="133" customFormat="1" ht="12.75" customHeight="1"/>
    <row r="722" s="133" customFormat="1" ht="12.75" customHeight="1"/>
    <row r="723" s="133" customFormat="1" ht="12.75" customHeight="1"/>
    <row r="724" s="133" customFormat="1" ht="12.75" customHeight="1"/>
    <row r="725" s="133" customFormat="1" ht="12.75" customHeight="1"/>
    <row r="726" s="133" customFormat="1" ht="12.75" customHeight="1"/>
    <row r="727" s="133" customFormat="1" ht="12.75" customHeight="1"/>
    <row r="728" s="133" customFormat="1" ht="12.75" customHeight="1"/>
    <row r="729" s="133" customFormat="1" ht="12.75" customHeight="1"/>
    <row r="730" s="133" customFormat="1" ht="12.75" customHeight="1"/>
    <row r="731" s="133" customFormat="1" ht="12.75" customHeight="1"/>
    <row r="732" s="133" customFormat="1" ht="12.75" customHeight="1"/>
    <row r="733" s="133" customFormat="1" ht="12.75" customHeight="1"/>
    <row r="734" s="133" customFormat="1" ht="12.75" customHeight="1"/>
    <row r="735" s="133" customFormat="1" ht="12.75" customHeight="1"/>
    <row r="736" s="133" customFormat="1" ht="12.75" customHeight="1"/>
    <row r="737" s="133" customFormat="1" ht="12.75" customHeight="1"/>
    <row r="738" s="133" customFormat="1" ht="12.75" customHeight="1"/>
    <row r="739" s="133" customFormat="1" ht="12.75" customHeight="1"/>
    <row r="740" s="133" customFormat="1" ht="12.75" customHeight="1"/>
    <row r="741" s="133" customFormat="1" ht="12.75" customHeight="1"/>
    <row r="742" s="133" customFormat="1" ht="12.75" customHeight="1"/>
    <row r="743" s="133" customFormat="1" ht="12.75" customHeight="1"/>
    <row r="744" s="133" customFormat="1" ht="12.75" customHeight="1"/>
    <row r="745" s="133" customFormat="1" ht="12.75" customHeight="1"/>
    <row r="746" s="133" customFormat="1" ht="12.75" customHeight="1"/>
    <row r="747" s="133" customFormat="1" ht="12.75" customHeight="1"/>
    <row r="748" s="133" customFormat="1" ht="12.75" customHeight="1"/>
    <row r="749" s="133" customFormat="1" ht="12.75" customHeight="1"/>
    <row r="750" s="133" customFormat="1" ht="12.75" customHeight="1"/>
    <row r="751" s="133" customFormat="1" ht="12.75" customHeight="1"/>
    <row r="752" s="133" customFormat="1" ht="12.75" customHeight="1"/>
    <row r="753" s="133" customFormat="1" ht="12.75" customHeight="1"/>
    <row r="754" s="133" customFormat="1" ht="12.75" customHeight="1"/>
    <row r="755" s="133" customFormat="1" ht="12.75" customHeight="1"/>
    <row r="756" s="133" customFormat="1" ht="12.75" customHeight="1"/>
    <row r="757" s="133" customFormat="1" ht="12.75" customHeight="1"/>
    <row r="758" s="133" customFormat="1" ht="12.75" customHeight="1"/>
    <row r="759" s="133" customFormat="1" ht="12.75" customHeight="1"/>
    <row r="760" s="133" customFormat="1" ht="12.75" customHeight="1"/>
    <row r="761" s="133" customFormat="1" ht="12.75" customHeight="1"/>
    <row r="762" s="133" customFormat="1" ht="12.75" customHeight="1"/>
    <row r="763" s="133" customFormat="1" ht="12.75" customHeight="1"/>
    <row r="764" s="133" customFormat="1" ht="12.75" customHeight="1"/>
    <row r="765" s="133" customFormat="1" ht="12.75" customHeight="1"/>
    <row r="766" s="133" customFormat="1" ht="12.75" customHeight="1"/>
    <row r="767" s="133" customFormat="1" ht="12.75" customHeight="1"/>
    <row r="768" s="133" customFormat="1" ht="12.75" customHeight="1"/>
    <row r="769" s="133" customFormat="1" ht="12.75" customHeight="1"/>
    <row r="770" s="133" customFormat="1" ht="12.75" customHeight="1"/>
    <row r="771" s="133" customFormat="1" ht="12.75" customHeight="1"/>
    <row r="772" s="133" customFormat="1" ht="12.75" customHeight="1"/>
    <row r="773" s="133" customFormat="1" ht="12.75" customHeight="1"/>
    <row r="774" s="133" customFormat="1" ht="12.75" customHeight="1"/>
    <row r="775" s="133" customFormat="1" ht="12.75" customHeight="1"/>
    <row r="776" s="133" customFormat="1" ht="12.75" customHeight="1"/>
    <row r="777" s="133" customFormat="1" ht="12.75" customHeight="1"/>
    <row r="778" s="133" customFormat="1" ht="12.75" customHeight="1"/>
    <row r="779" s="133" customFormat="1" ht="12.75" customHeight="1"/>
    <row r="780" s="133" customFormat="1" ht="12.75" customHeight="1"/>
    <row r="781" s="133" customFormat="1" ht="12.75" customHeight="1"/>
    <row r="782" s="133" customFormat="1" ht="12.75" customHeight="1"/>
    <row r="783" s="133" customFormat="1" ht="12.75" customHeight="1"/>
    <row r="784" s="133" customFormat="1" ht="12.75" customHeight="1"/>
    <row r="785" s="133" customFormat="1" ht="12.75" customHeight="1"/>
    <row r="786" s="133" customFormat="1" ht="12.75" customHeight="1"/>
    <row r="787" s="133" customFormat="1" ht="12.75" customHeight="1"/>
    <row r="788" s="133" customFormat="1" ht="12.75" customHeight="1"/>
    <row r="789" s="133" customFormat="1" ht="12.75" customHeight="1"/>
    <row r="790" s="133" customFormat="1" ht="12.75" customHeight="1"/>
    <row r="791" s="133" customFormat="1" ht="12.75" customHeight="1"/>
    <row r="792" s="133" customFormat="1" ht="12.75" customHeight="1"/>
    <row r="793" s="133" customFormat="1" ht="12.75" customHeight="1"/>
    <row r="794" s="133" customFormat="1" ht="12.75" customHeight="1"/>
    <row r="795" s="133" customFormat="1" ht="12.75" customHeight="1"/>
    <row r="796" s="133" customFormat="1" ht="12.75" customHeight="1"/>
    <row r="797" s="133" customFormat="1" ht="12.75" customHeight="1"/>
    <row r="798" s="133" customFormat="1" ht="12.75" customHeight="1"/>
    <row r="799" s="133" customFormat="1" ht="12.75" customHeight="1"/>
    <row r="800" s="133" customFormat="1" ht="12.75" customHeight="1"/>
    <row r="801" s="133" customFormat="1" ht="12.75" customHeight="1"/>
    <row r="802" s="133" customFormat="1" ht="12.75" customHeight="1"/>
    <row r="803" s="133" customFormat="1" ht="12.75" customHeight="1"/>
    <row r="804" s="133" customFormat="1" ht="12.75" customHeight="1"/>
    <row r="805" s="133" customFormat="1" ht="12.75" customHeight="1"/>
    <row r="806" s="133" customFormat="1" ht="12.75" customHeight="1"/>
    <row r="807" s="133" customFormat="1" ht="12.75" customHeight="1"/>
    <row r="808" s="133" customFormat="1" ht="12.75" customHeight="1"/>
    <row r="809" s="133" customFormat="1" ht="12.75" customHeight="1"/>
    <row r="810" s="133" customFormat="1" ht="12.75" customHeight="1"/>
    <row r="811" s="133" customFormat="1" ht="12.75" customHeight="1"/>
    <row r="812" s="133" customFormat="1" ht="12.75" customHeight="1"/>
    <row r="813" s="133" customFormat="1" ht="12.75" customHeight="1"/>
    <row r="814" s="133" customFormat="1" ht="12.75" customHeight="1"/>
    <row r="815" s="133" customFormat="1" ht="12.75" customHeight="1"/>
    <row r="816" s="133" customFormat="1" ht="12.75" customHeight="1"/>
    <row r="817" s="133" customFormat="1" ht="12.75" customHeight="1"/>
    <row r="818" s="133" customFormat="1" ht="12.75" customHeight="1"/>
    <row r="819" s="133" customFormat="1" ht="12.75" customHeight="1"/>
    <row r="820" s="133" customFormat="1" ht="12.75" customHeight="1"/>
    <row r="821" s="133" customFormat="1" ht="12.75" customHeight="1"/>
    <row r="822" s="133" customFormat="1" ht="12.75" customHeight="1"/>
    <row r="823" s="133" customFormat="1" ht="12.75" customHeight="1"/>
    <row r="824" s="133" customFormat="1" ht="12.75" customHeight="1"/>
    <row r="825" s="133" customFormat="1" ht="12.75" customHeight="1"/>
    <row r="826" s="133" customFormat="1" ht="12.75" customHeight="1"/>
    <row r="827" s="133" customFormat="1" ht="12.75" customHeight="1"/>
    <row r="828" s="133" customFormat="1" ht="12.75" customHeight="1"/>
    <row r="829" s="133" customFormat="1" ht="12.75" customHeight="1"/>
    <row r="830" s="133" customFormat="1" ht="12.75" customHeight="1"/>
    <row r="831" s="133" customFormat="1" ht="12.75" customHeight="1"/>
    <row r="832" s="133" customFormat="1" ht="12.75" customHeight="1"/>
    <row r="833" s="133" customFormat="1" ht="12.75" customHeight="1"/>
    <row r="834" s="133" customFormat="1" ht="12.75" customHeight="1"/>
    <row r="835" s="133" customFormat="1" ht="12.75" customHeight="1"/>
    <row r="836" s="133" customFormat="1" ht="12.75" customHeight="1"/>
    <row r="837" s="133" customFormat="1" ht="12.75" customHeight="1"/>
    <row r="838" s="133" customFormat="1" ht="12.75" customHeight="1"/>
    <row r="839" s="133" customFormat="1" ht="12.75" customHeight="1"/>
    <row r="840" s="133" customFormat="1" ht="12.75" customHeight="1"/>
    <row r="841" s="133" customFormat="1" ht="12.75" customHeight="1"/>
    <row r="842" s="133" customFormat="1" ht="12.75" customHeight="1"/>
    <row r="843" s="133" customFormat="1" ht="12.75" customHeight="1"/>
    <row r="844" s="133" customFormat="1" ht="12.75" customHeight="1"/>
    <row r="845" s="133" customFormat="1" ht="12.75" customHeight="1"/>
    <row r="846" s="133" customFormat="1" ht="12.75" customHeight="1"/>
    <row r="847" s="133" customFormat="1" ht="12.75" customHeight="1"/>
    <row r="848" s="133" customFormat="1" ht="12.75" customHeight="1"/>
    <row r="849" s="133" customFormat="1" ht="12.75" customHeight="1"/>
    <row r="850" s="133" customFormat="1" ht="12.75" customHeight="1"/>
    <row r="851" s="133" customFormat="1" ht="12.75" customHeight="1"/>
    <row r="852" s="133" customFormat="1" ht="12.75" customHeight="1"/>
    <row r="853" s="133" customFormat="1" ht="12.75" customHeight="1"/>
    <row r="854" s="133" customFormat="1" ht="12.75" customHeight="1"/>
    <row r="855" s="133" customFormat="1" ht="12.75" customHeight="1"/>
    <row r="856" s="133" customFormat="1" ht="12.75" customHeight="1"/>
  </sheetData>
  <sheetProtection formatCells="0" formatColumns="0" formatRows="0" insertColumns="0" insertRows="0" insertHyperlinks="0" deleteColumns="0" deleteRows="0" sort="0" autoFilter="0" pivotTables="0"/>
  <autoFilter ref="K18:AH54" xr:uid="{00000000-0009-0000-0000-000000000000}">
    <filterColumn colId="2" showButton="0"/>
    <filterColumn colId="3" showButton="0"/>
    <filterColumn colId="22" showButton="0"/>
  </autoFilter>
  <mergeCells count="707">
    <mergeCell ref="M38:O38"/>
    <mergeCell ref="M39:O39"/>
    <mergeCell ref="M48:O48"/>
    <mergeCell ref="M45:O45"/>
    <mergeCell ref="M46:O46"/>
    <mergeCell ref="M47:O47"/>
    <mergeCell ref="M49:O49"/>
    <mergeCell ref="M50:O50"/>
    <mergeCell ref="M51:O51"/>
    <mergeCell ref="M44:O44"/>
    <mergeCell ref="M52:O52"/>
    <mergeCell ref="M53:O53"/>
    <mergeCell ref="M54:O54"/>
    <mergeCell ref="M40:O40"/>
    <mergeCell ref="M41:O41"/>
    <mergeCell ref="M43:O43"/>
    <mergeCell ref="M42:O42"/>
    <mergeCell ref="M29:O29"/>
    <mergeCell ref="M35:O35"/>
    <mergeCell ref="M36:O36"/>
    <mergeCell ref="M23:O23"/>
    <mergeCell ref="M24:O24"/>
    <mergeCell ref="M25:O25"/>
    <mergeCell ref="M27:O27"/>
    <mergeCell ref="M28:O28"/>
    <mergeCell ref="M26:O26"/>
    <mergeCell ref="M30:O30"/>
    <mergeCell ref="M31:O31"/>
    <mergeCell ref="M32:O32"/>
    <mergeCell ref="M33:O33"/>
    <mergeCell ref="M34:O34"/>
    <mergeCell ref="M37:O37"/>
    <mergeCell ref="M18:O18"/>
    <mergeCell ref="AG18:AH18"/>
    <mergeCell ref="M19:O19"/>
    <mergeCell ref="M20:O20"/>
    <mergeCell ref="M21:O21"/>
    <mergeCell ref="M22:O22"/>
    <mergeCell ref="TM15:TS15"/>
    <mergeCell ref="TT15:TZ15"/>
    <mergeCell ref="UA15:UG15"/>
    <mergeCell ref="NO15:NU15"/>
    <mergeCell ref="NV15:OB15"/>
    <mergeCell ref="OC15:OI15"/>
    <mergeCell ref="OJ15:OP15"/>
    <mergeCell ref="LK15:LQ15"/>
    <mergeCell ref="LR15:LX15"/>
    <mergeCell ref="LY15:ME15"/>
    <mergeCell ref="MF15:ML15"/>
    <mergeCell ref="MM15:MS15"/>
    <mergeCell ref="MT15:MZ15"/>
    <mergeCell ref="JU15:KA15"/>
    <mergeCell ref="KB15:KH15"/>
    <mergeCell ref="KI15:KO15"/>
    <mergeCell ref="KP15:KV15"/>
    <mergeCell ref="KW15:LC15"/>
    <mergeCell ref="UH15:UM15"/>
    <mergeCell ref="Q17:AD17"/>
    <mergeCell ref="AE17:AH17"/>
    <mergeCell ref="AI17:AI18"/>
    <mergeCell ref="RW15:SC15"/>
    <mergeCell ref="SD15:SJ15"/>
    <mergeCell ref="SK15:SQ15"/>
    <mergeCell ref="SR15:SX15"/>
    <mergeCell ref="SY15:TE15"/>
    <mergeCell ref="TF15:TL15"/>
    <mergeCell ref="QG15:QM15"/>
    <mergeCell ref="QN15:QT15"/>
    <mergeCell ref="QU15:RA15"/>
    <mergeCell ref="RB15:RH15"/>
    <mergeCell ref="RI15:RO15"/>
    <mergeCell ref="RP15:RV15"/>
    <mergeCell ref="OQ15:OW15"/>
    <mergeCell ref="OX15:PD15"/>
    <mergeCell ref="PE15:PK15"/>
    <mergeCell ref="PL15:PR15"/>
    <mergeCell ref="PS15:PY15"/>
    <mergeCell ref="PZ15:QF15"/>
    <mergeCell ref="NA15:NG15"/>
    <mergeCell ref="NH15:NN15"/>
    <mergeCell ref="LD15:LJ15"/>
    <mergeCell ref="IE15:IK15"/>
    <mergeCell ref="IL15:IR15"/>
    <mergeCell ref="IS15:IY15"/>
    <mergeCell ref="IZ15:JF15"/>
    <mergeCell ref="JG15:JM15"/>
    <mergeCell ref="JN15:JT15"/>
    <mergeCell ref="GO15:GU15"/>
    <mergeCell ref="GV15:HB15"/>
    <mergeCell ref="HC15:HI15"/>
    <mergeCell ref="HJ15:HP15"/>
    <mergeCell ref="HQ15:HW15"/>
    <mergeCell ref="HX15:ID15"/>
    <mergeCell ref="EY15:FE15"/>
    <mergeCell ref="FF15:FL15"/>
    <mergeCell ref="FM15:FS15"/>
    <mergeCell ref="FT15:FZ15"/>
    <mergeCell ref="GA15:GG15"/>
    <mergeCell ref="GH15:GN15"/>
    <mergeCell ref="DI15:DO15"/>
    <mergeCell ref="DP15:DV15"/>
    <mergeCell ref="DW15:EC15"/>
    <mergeCell ref="ED15:EJ15"/>
    <mergeCell ref="EK15:EQ15"/>
    <mergeCell ref="ER15:EX15"/>
    <mergeCell ref="BS15:BY15"/>
    <mergeCell ref="BZ15:CF15"/>
    <mergeCell ref="CG15:CM15"/>
    <mergeCell ref="CN15:CT15"/>
    <mergeCell ref="CU15:DA15"/>
    <mergeCell ref="DB15:DH15"/>
    <mergeCell ref="UK10:UK13"/>
    <mergeCell ref="UL10:UL13"/>
    <mergeCell ref="UM10:UM13"/>
    <mergeCell ref="UG10:UG13"/>
    <mergeCell ref="UH10:UH13"/>
    <mergeCell ref="UI10:UI13"/>
    <mergeCell ref="UJ10:UJ13"/>
    <mergeCell ref="TP10:TP13"/>
    <mergeCell ref="TQ10:TQ13"/>
    <mergeCell ref="TR10:TR13"/>
    <mergeCell ref="TG10:TG13"/>
    <mergeCell ref="TH10:TH13"/>
    <mergeCell ref="TI10:TI13"/>
    <mergeCell ref="TJ10:TJ13"/>
    <mergeCell ref="TK10:TK13"/>
    <mergeCell ref="TL10:TL13"/>
    <mergeCell ref="TA10:TA13"/>
    <mergeCell ref="TB10:TB13"/>
    <mergeCell ref="AG14:AH14"/>
    <mergeCell ref="AG15:AH15"/>
    <mergeCell ref="AJ15:AP15"/>
    <mergeCell ref="AQ15:AW15"/>
    <mergeCell ref="AX15:BD15"/>
    <mergeCell ref="BE15:BK15"/>
    <mergeCell ref="BL15:BR15"/>
    <mergeCell ref="UE10:UE13"/>
    <mergeCell ref="UF10:UF13"/>
    <mergeCell ref="TY10:TY13"/>
    <mergeCell ref="TZ10:TZ13"/>
    <mergeCell ref="UA10:UA13"/>
    <mergeCell ref="UB10:UB13"/>
    <mergeCell ref="UC10:UC13"/>
    <mergeCell ref="UD10:UD13"/>
    <mergeCell ref="TS10:TS13"/>
    <mergeCell ref="TT10:TT13"/>
    <mergeCell ref="TU10:TU13"/>
    <mergeCell ref="TV10:TV13"/>
    <mergeCell ref="TW10:TW13"/>
    <mergeCell ref="TX10:TX13"/>
    <mergeCell ref="TM10:TM13"/>
    <mergeCell ref="TN10:TN13"/>
    <mergeCell ref="TO10:TO13"/>
    <mergeCell ref="TC10:TC13"/>
    <mergeCell ref="TD10:TD13"/>
    <mergeCell ref="TE10:TE13"/>
    <mergeCell ref="TF10:TF13"/>
    <mergeCell ref="SU10:SU13"/>
    <mergeCell ref="SV10:SV13"/>
    <mergeCell ref="SW10:SW13"/>
    <mergeCell ref="SX10:SX13"/>
    <mergeCell ref="SY10:SY13"/>
    <mergeCell ref="SZ10:SZ13"/>
    <mergeCell ref="SO10:SO13"/>
    <mergeCell ref="SP10:SP13"/>
    <mergeCell ref="SQ10:SQ13"/>
    <mergeCell ref="SR10:SR13"/>
    <mergeCell ref="SS10:SS13"/>
    <mergeCell ref="ST10:ST13"/>
    <mergeCell ref="SI10:SI13"/>
    <mergeCell ref="SJ10:SJ13"/>
    <mergeCell ref="SK10:SK13"/>
    <mergeCell ref="SL10:SL13"/>
    <mergeCell ref="SM10:SM13"/>
    <mergeCell ref="SN10:SN13"/>
    <mergeCell ref="SC10:SC13"/>
    <mergeCell ref="SD10:SD13"/>
    <mergeCell ref="SE10:SE13"/>
    <mergeCell ref="SF10:SF13"/>
    <mergeCell ref="SG10:SG13"/>
    <mergeCell ref="SH10:SH13"/>
    <mergeCell ref="RW10:RW13"/>
    <mergeCell ref="RX10:RX13"/>
    <mergeCell ref="RY10:RY13"/>
    <mergeCell ref="RZ10:RZ13"/>
    <mergeCell ref="SA10:SA13"/>
    <mergeCell ref="SB10:SB13"/>
    <mergeCell ref="RQ10:RQ13"/>
    <mergeCell ref="RR10:RR13"/>
    <mergeCell ref="RS10:RS13"/>
    <mergeCell ref="RT10:RT13"/>
    <mergeCell ref="RU10:RU13"/>
    <mergeCell ref="RV10:RV13"/>
    <mergeCell ref="RK10:RK13"/>
    <mergeCell ref="RL10:RL13"/>
    <mergeCell ref="RM10:RM13"/>
    <mergeCell ref="RN10:RN13"/>
    <mergeCell ref="RO10:RO13"/>
    <mergeCell ref="RP10:RP13"/>
    <mergeCell ref="RE10:RE13"/>
    <mergeCell ref="RF10:RF13"/>
    <mergeCell ref="RG10:RG13"/>
    <mergeCell ref="RH10:RH13"/>
    <mergeCell ref="RI10:RI13"/>
    <mergeCell ref="RJ10:RJ13"/>
    <mergeCell ref="QY10:QY13"/>
    <mergeCell ref="QZ10:QZ13"/>
    <mergeCell ref="RA10:RA13"/>
    <mergeCell ref="RB10:RB13"/>
    <mergeCell ref="RC10:RC13"/>
    <mergeCell ref="RD10:RD13"/>
    <mergeCell ref="QS10:QS13"/>
    <mergeCell ref="QT10:QT13"/>
    <mergeCell ref="QU10:QU13"/>
    <mergeCell ref="QV10:QV13"/>
    <mergeCell ref="QW10:QW13"/>
    <mergeCell ref="QX10:QX13"/>
    <mergeCell ref="QM10:QM13"/>
    <mergeCell ref="QN10:QN13"/>
    <mergeCell ref="QO10:QO13"/>
    <mergeCell ref="QP10:QP13"/>
    <mergeCell ref="QQ10:QQ13"/>
    <mergeCell ref="QR10:QR13"/>
    <mergeCell ref="QG10:QG13"/>
    <mergeCell ref="QH10:QH13"/>
    <mergeCell ref="QI10:QI13"/>
    <mergeCell ref="QJ10:QJ13"/>
    <mergeCell ref="QK10:QK13"/>
    <mergeCell ref="QL10:QL13"/>
    <mergeCell ref="QA10:QA13"/>
    <mergeCell ref="QB10:QB13"/>
    <mergeCell ref="QC10:QC13"/>
    <mergeCell ref="QD10:QD13"/>
    <mergeCell ref="QE10:QE13"/>
    <mergeCell ref="QF10:QF13"/>
    <mergeCell ref="PU10:PU13"/>
    <mergeCell ref="PV10:PV13"/>
    <mergeCell ref="PW10:PW13"/>
    <mergeCell ref="PX10:PX13"/>
    <mergeCell ref="PY10:PY13"/>
    <mergeCell ref="PZ10:PZ13"/>
    <mergeCell ref="PO10:PO13"/>
    <mergeCell ref="PP10:PP13"/>
    <mergeCell ref="PQ10:PQ13"/>
    <mergeCell ref="PR10:PR13"/>
    <mergeCell ref="PS10:PS13"/>
    <mergeCell ref="PT10:PT13"/>
    <mergeCell ref="PI10:PI13"/>
    <mergeCell ref="PJ10:PJ13"/>
    <mergeCell ref="PK10:PK13"/>
    <mergeCell ref="PL10:PL13"/>
    <mergeCell ref="PM10:PM13"/>
    <mergeCell ref="PN10:PN13"/>
    <mergeCell ref="PC10:PC13"/>
    <mergeCell ref="PD10:PD13"/>
    <mergeCell ref="PE10:PE13"/>
    <mergeCell ref="PF10:PF13"/>
    <mergeCell ref="PG10:PG13"/>
    <mergeCell ref="PH10:PH13"/>
    <mergeCell ref="OW10:OW13"/>
    <mergeCell ref="OX10:OX13"/>
    <mergeCell ref="OY10:OY13"/>
    <mergeCell ref="OZ10:OZ13"/>
    <mergeCell ref="PA10:PA13"/>
    <mergeCell ref="PB10:PB13"/>
    <mergeCell ref="OQ10:OQ13"/>
    <mergeCell ref="OR10:OR13"/>
    <mergeCell ref="OS10:OS13"/>
    <mergeCell ref="OT10:OT13"/>
    <mergeCell ref="OU10:OU13"/>
    <mergeCell ref="OV10:OV13"/>
    <mergeCell ref="OK10:OK13"/>
    <mergeCell ref="OL10:OL13"/>
    <mergeCell ref="OM10:OM13"/>
    <mergeCell ref="ON10:ON13"/>
    <mergeCell ref="OO10:OO13"/>
    <mergeCell ref="OP10:OP13"/>
    <mergeCell ref="OE10:OE13"/>
    <mergeCell ref="OF10:OF13"/>
    <mergeCell ref="OG10:OG13"/>
    <mergeCell ref="OH10:OH13"/>
    <mergeCell ref="OI10:OI13"/>
    <mergeCell ref="OJ10:OJ13"/>
    <mergeCell ref="NY10:NY13"/>
    <mergeCell ref="NZ10:NZ13"/>
    <mergeCell ref="OA10:OA13"/>
    <mergeCell ref="OB10:OB13"/>
    <mergeCell ref="OC10:OC13"/>
    <mergeCell ref="OD10:OD13"/>
    <mergeCell ref="NS10:NS13"/>
    <mergeCell ref="NT10:NT13"/>
    <mergeCell ref="NU10:NU13"/>
    <mergeCell ref="NV10:NV13"/>
    <mergeCell ref="NW10:NW13"/>
    <mergeCell ref="NX10:NX13"/>
    <mergeCell ref="NM10:NM13"/>
    <mergeCell ref="NN10:NN13"/>
    <mergeCell ref="NO10:NO13"/>
    <mergeCell ref="NP10:NP13"/>
    <mergeCell ref="NQ10:NQ13"/>
    <mergeCell ref="NR10:NR13"/>
    <mergeCell ref="NG10:NG13"/>
    <mergeCell ref="NH10:NH13"/>
    <mergeCell ref="NI10:NI13"/>
    <mergeCell ref="NJ10:NJ13"/>
    <mergeCell ref="NK10:NK13"/>
    <mergeCell ref="NL10:NL13"/>
    <mergeCell ref="NA10:NA13"/>
    <mergeCell ref="NB10:NB13"/>
    <mergeCell ref="NC10:NC13"/>
    <mergeCell ref="ND10:ND13"/>
    <mergeCell ref="NE10:NE13"/>
    <mergeCell ref="NF10:NF13"/>
    <mergeCell ref="MU10:MU13"/>
    <mergeCell ref="MV10:MV13"/>
    <mergeCell ref="MW10:MW13"/>
    <mergeCell ref="MX10:MX13"/>
    <mergeCell ref="MY10:MY13"/>
    <mergeCell ref="MZ10:MZ13"/>
    <mergeCell ref="MO10:MO13"/>
    <mergeCell ref="MP10:MP13"/>
    <mergeCell ref="MQ10:MQ13"/>
    <mergeCell ref="MR10:MR13"/>
    <mergeCell ref="MS10:MS13"/>
    <mergeCell ref="MT10:MT13"/>
    <mergeCell ref="MI10:MI13"/>
    <mergeCell ref="MJ10:MJ13"/>
    <mergeCell ref="MK10:MK13"/>
    <mergeCell ref="ML10:ML13"/>
    <mergeCell ref="MM10:MM13"/>
    <mergeCell ref="MN10:MN13"/>
    <mergeCell ref="MC10:MC13"/>
    <mergeCell ref="MD10:MD13"/>
    <mergeCell ref="ME10:ME13"/>
    <mergeCell ref="MF10:MF13"/>
    <mergeCell ref="MG10:MG13"/>
    <mergeCell ref="MH10:MH13"/>
    <mergeCell ref="LW10:LW13"/>
    <mergeCell ref="LX10:LX13"/>
    <mergeCell ref="LY10:LY13"/>
    <mergeCell ref="LZ10:LZ13"/>
    <mergeCell ref="MA10:MA13"/>
    <mergeCell ref="MB10:MB13"/>
    <mergeCell ref="LQ10:LQ13"/>
    <mergeCell ref="LR10:LR13"/>
    <mergeCell ref="LS10:LS13"/>
    <mergeCell ref="LT10:LT13"/>
    <mergeCell ref="LU10:LU13"/>
    <mergeCell ref="LV10:LV13"/>
    <mergeCell ref="LK10:LK13"/>
    <mergeCell ref="LL10:LL13"/>
    <mergeCell ref="LM10:LM13"/>
    <mergeCell ref="LN10:LN13"/>
    <mergeCell ref="LO10:LO13"/>
    <mergeCell ref="LP10:LP13"/>
    <mergeCell ref="LE10:LE13"/>
    <mergeCell ref="LF10:LF13"/>
    <mergeCell ref="LG10:LG13"/>
    <mergeCell ref="LH10:LH13"/>
    <mergeCell ref="LI10:LI13"/>
    <mergeCell ref="LJ10:LJ13"/>
    <mergeCell ref="KY10:KY13"/>
    <mergeCell ref="KZ10:KZ13"/>
    <mergeCell ref="LA10:LA13"/>
    <mergeCell ref="LB10:LB13"/>
    <mergeCell ref="LC10:LC13"/>
    <mergeCell ref="LD10:LD13"/>
    <mergeCell ref="KS10:KS13"/>
    <mergeCell ref="KT10:KT13"/>
    <mergeCell ref="KU10:KU13"/>
    <mergeCell ref="KV10:KV13"/>
    <mergeCell ref="KW10:KW13"/>
    <mergeCell ref="KX10:KX13"/>
    <mergeCell ref="KM10:KM13"/>
    <mergeCell ref="KN10:KN13"/>
    <mergeCell ref="KO10:KO13"/>
    <mergeCell ref="KP10:KP13"/>
    <mergeCell ref="KQ10:KQ13"/>
    <mergeCell ref="KR10:KR13"/>
    <mergeCell ref="KG10:KG13"/>
    <mergeCell ref="KH10:KH13"/>
    <mergeCell ref="KI10:KI13"/>
    <mergeCell ref="KJ10:KJ13"/>
    <mergeCell ref="KK10:KK13"/>
    <mergeCell ref="KL10:KL13"/>
    <mergeCell ref="KA10:KA13"/>
    <mergeCell ref="KB10:KB13"/>
    <mergeCell ref="KC10:KC13"/>
    <mergeCell ref="KD10:KD13"/>
    <mergeCell ref="KE10:KE13"/>
    <mergeCell ref="KF10:KF13"/>
    <mergeCell ref="JU10:JU13"/>
    <mergeCell ref="JV10:JV13"/>
    <mergeCell ref="JW10:JW13"/>
    <mergeCell ref="JX10:JX13"/>
    <mergeCell ref="JY10:JY13"/>
    <mergeCell ref="JZ10:JZ13"/>
    <mergeCell ref="JO10:JO13"/>
    <mergeCell ref="JP10:JP13"/>
    <mergeCell ref="JQ10:JQ13"/>
    <mergeCell ref="JR10:JR13"/>
    <mergeCell ref="JS10:JS13"/>
    <mergeCell ref="JT10:JT13"/>
    <mergeCell ref="JI10:JI13"/>
    <mergeCell ref="JJ10:JJ13"/>
    <mergeCell ref="JK10:JK13"/>
    <mergeCell ref="JL10:JL13"/>
    <mergeCell ref="JM10:JM13"/>
    <mergeCell ref="JN10:JN13"/>
    <mergeCell ref="JC10:JC13"/>
    <mergeCell ref="JD10:JD13"/>
    <mergeCell ref="JE10:JE13"/>
    <mergeCell ref="JF10:JF13"/>
    <mergeCell ref="JG10:JG13"/>
    <mergeCell ref="JH10:JH13"/>
    <mergeCell ref="IW10:IW13"/>
    <mergeCell ref="IX10:IX13"/>
    <mergeCell ref="IY10:IY13"/>
    <mergeCell ref="IZ10:IZ13"/>
    <mergeCell ref="JA10:JA13"/>
    <mergeCell ref="JB10:JB13"/>
    <mergeCell ref="IQ10:IQ13"/>
    <mergeCell ref="IR10:IR13"/>
    <mergeCell ref="IS10:IS13"/>
    <mergeCell ref="IT10:IT13"/>
    <mergeCell ref="IU10:IU13"/>
    <mergeCell ref="IV10:IV13"/>
    <mergeCell ref="IK10:IK13"/>
    <mergeCell ref="IL10:IL13"/>
    <mergeCell ref="IM10:IM13"/>
    <mergeCell ref="IN10:IN13"/>
    <mergeCell ref="IO10:IO13"/>
    <mergeCell ref="IP10:IP13"/>
    <mergeCell ref="IE10:IE13"/>
    <mergeCell ref="IF10:IF13"/>
    <mergeCell ref="IG10:IG13"/>
    <mergeCell ref="IH10:IH13"/>
    <mergeCell ref="II10:II13"/>
    <mergeCell ref="IJ10:IJ13"/>
    <mergeCell ref="HY10:HY13"/>
    <mergeCell ref="HZ10:HZ13"/>
    <mergeCell ref="IA10:IA13"/>
    <mergeCell ref="IB10:IB13"/>
    <mergeCell ref="IC10:IC13"/>
    <mergeCell ref="ID10:ID13"/>
    <mergeCell ref="HS10:HS13"/>
    <mergeCell ref="HT10:HT13"/>
    <mergeCell ref="HU10:HU13"/>
    <mergeCell ref="HV10:HV13"/>
    <mergeCell ref="HW10:HW13"/>
    <mergeCell ref="HX10:HX13"/>
    <mergeCell ref="HM10:HM13"/>
    <mergeCell ref="HN10:HN13"/>
    <mergeCell ref="HO10:HO13"/>
    <mergeCell ref="HP10:HP13"/>
    <mergeCell ref="HQ10:HQ13"/>
    <mergeCell ref="HR10:HR13"/>
    <mergeCell ref="HG10:HG13"/>
    <mergeCell ref="HH10:HH13"/>
    <mergeCell ref="HI10:HI13"/>
    <mergeCell ref="HJ10:HJ13"/>
    <mergeCell ref="HK10:HK13"/>
    <mergeCell ref="HL10:HL13"/>
    <mergeCell ref="HA10:HA13"/>
    <mergeCell ref="HB10:HB13"/>
    <mergeCell ref="HC10:HC13"/>
    <mergeCell ref="HD10:HD13"/>
    <mergeCell ref="HE10:HE13"/>
    <mergeCell ref="HF10:HF13"/>
    <mergeCell ref="GU10:GU13"/>
    <mergeCell ref="GV10:GV13"/>
    <mergeCell ref="GW10:GW13"/>
    <mergeCell ref="GX10:GX13"/>
    <mergeCell ref="GY10:GY13"/>
    <mergeCell ref="GZ10:GZ13"/>
    <mergeCell ref="GO10:GO13"/>
    <mergeCell ref="GP10:GP13"/>
    <mergeCell ref="GQ10:GQ13"/>
    <mergeCell ref="GR10:GR13"/>
    <mergeCell ref="GS10:GS13"/>
    <mergeCell ref="GT10:GT13"/>
    <mergeCell ref="GI10:GI13"/>
    <mergeCell ref="GJ10:GJ13"/>
    <mergeCell ref="GK10:GK13"/>
    <mergeCell ref="GL10:GL13"/>
    <mergeCell ref="GM10:GM13"/>
    <mergeCell ref="GN10:GN13"/>
    <mergeCell ref="GC10:GC13"/>
    <mergeCell ref="GD10:GD13"/>
    <mergeCell ref="GE10:GE13"/>
    <mergeCell ref="GF10:GF13"/>
    <mergeCell ref="GG10:GG13"/>
    <mergeCell ref="GH10:GH13"/>
    <mergeCell ref="FW10:FW13"/>
    <mergeCell ref="FX10:FX13"/>
    <mergeCell ref="FY10:FY13"/>
    <mergeCell ref="FZ10:FZ13"/>
    <mergeCell ref="GA10:GA13"/>
    <mergeCell ref="GB10:GB13"/>
    <mergeCell ref="FQ10:FQ13"/>
    <mergeCell ref="FR10:FR13"/>
    <mergeCell ref="FS10:FS13"/>
    <mergeCell ref="FT10:FT13"/>
    <mergeCell ref="FU10:FU13"/>
    <mergeCell ref="FV10:FV13"/>
    <mergeCell ref="FK10:FK13"/>
    <mergeCell ref="FL10:FL13"/>
    <mergeCell ref="FM10:FM13"/>
    <mergeCell ref="FN10:FN13"/>
    <mergeCell ref="FO10:FO13"/>
    <mergeCell ref="FP10:FP13"/>
    <mergeCell ref="FE10:FE13"/>
    <mergeCell ref="FF10:FF13"/>
    <mergeCell ref="FG10:FG13"/>
    <mergeCell ref="FH10:FH13"/>
    <mergeCell ref="FI10:FI13"/>
    <mergeCell ref="FJ10:FJ13"/>
    <mergeCell ref="EY10:EY13"/>
    <mergeCell ref="EZ10:EZ13"/>
    <mergeCell ref="FA10:FA13"/>
    <mergeCell ref="FB10:FB13"/>
    <mergeCell ref="FC10:FC13"/>
    <mergeCell ref="FD10:FD13"/>
    <mergeCell ref="ES10:ES13"/>
    <mergeCell ref="ET10:ET13"/>
    <mergeCell ref="EU10:EU13"/>
    <mergeCell ref="EV10:EV13"/>
    <mergeCell ref="EW10:EW13"/>
    <mergeCell ref="EX10:EX13"/>
    <mergeCell ref="EM10:EM13"/>
    <mergeCell ref="EN10:EN13"/>
    <mergeCell ref="EO10:EO13"/>
    <mergeCell ref="EP10:EP13"/>
    <mergeCell ref="EQ10:EQ13"/>
    <mergeCell ref="ER10:ER13"/>
    <mergeCell ref="EG10:EG13"/>
    <mergeCell ref="EH10:EH13"/>
    <mergeCell ref="EI10:EI13"/>
    <mergeCell ref="EJ10:EJ13"/>
    <mergeCell ref="EK10:EK13"/>
    <mergeCell ref="EL10:EL13"/>
    <mergeCell ref="EA10:EA13"/>
    <mergeCell ref="EB10:EB13"/>
    <mergeCell ref="EC10:EC13"/>
    <mergeCell ref="ED10:ED13"/>
    <mergeCell ref="EE10:EE13"/>
    <mergeCell ref="EF10:EF13"/>
    <mergeCell ref="DU10:DU13"/>
    <mergeCell ref="DV10:DV13"/>
    <mergeCell ref="DW10:DW13"/>
    <mergeCell ref="DX10:DX13"/>
    <mergeCell ref="DY10:DY13"/>
    <mergeCell ref="DZ10:DZ13"/>
    <mergeCell ref="DO10:DO13"/>
    <mergeCell ref="DP10:DP13"/>
    <mergeCell ref="DQ10:DQ13"/>
    <mergeCell ref="DR10:DR13"/>
    <mergeCell ref="DS10:DS13"/>
    <mergeCell ref="DT10:DT13"/>
    <mergeCell ref="DI10:DI13"/>
    <mergeCell ref="DJ10:DJ13"/>
    <mergeCell ref="DK10:DK13"/>
    <mergeCell ref="DL10:DL13"/>
    <mergeCell ref="DM10:DM13"/>
    <mergeCell ref="DN10:DN13"/>
    <mergeCell ref="DC10:DC13"/>
    <mergeCell ref="DD10:DD13"/>
    <mergeCell ref="DE10:DE13"/>
    <mergeCell ref="DF10:DF13"/>
    <mergeCell ref="DG10:DG13"/>
    <mergeCell ref="DH10:DH13"/>
    <mergeCell ref="CW10:CW13"/>
    <mergeCell ref="CX10:CX13"/>
    <mergeCell ref="CY10:CY13"/>
    <mergeCell ref="CZ10:CZ13"/>
    <mergeCell ref="DA10:DA13"/>
    <mergeCell ref="DB10:DB13"/>
    <mergeCell ref="CQ10:CQ13"/>
    <mergeCell ref="CR10:CR13"/>
    <mergeCell ref="CS10:CS13"/>
    <mergeCell ref="CT10:CT13"/>
    <mergeCell ref="CU10:CU13"/>
    <mergeCell ref="CV10:CV13"/>
    <mergeCell ref="CK10:CK13"/>
    <mergeCell ref="CL10:CL13"/>
    <mergeCell ref="CM10:CM13"/>
    <mergeCell ref="CN10:CN13"/>
    <mergeCell ref="CO10:CO13"/>
    <mergeCell ref="CP10:CP13"/>
    <mergeCell ref="CE10:CE13"/>
    <mergeCell ref="CF10:CF13"/>
    <mergeCell ref="CG10:CG13"/>
    <mergeCell ref="CH10:CH13"/>
    <mergeCell ref="CI10:CI13"/>
    <mergeCell ref="CJ10:CJ13"/>
    <mergeCell ref="BY10:BY13"/>
    <mergeCell ref="BZ10:BZ13"/>
    <mergeCell ref="CA10:CA13"/>
    <mergeCell ref="CB10:CB13"/>
    <mergeCell ref="CC10:CC13"/>
    <mergeCell ref="CD10:CD13"/>
    <mergeCell ref="BS10:BS13"/>
    <mergeCell ref="BT10:BT13"/>
    <mergeCell ref="BU10:BU13"/>
    <mergeCell ref="BV10:BV13"/>
    <mergeCell ref="BW10:BW13"/>
    <mergeCell ref="BX10:BX13"/>
    <mergeCell ref="BM10:BM13"/>
    <mergeCell ref="BN10:BN13"/>
    <mergeCell ref="BO10:BO13"/>
    <mergeCell ref="BP10:BP13"/>
    <mergeCell ref="BQ10:BQ13"/>
    <mergeCell ref="BR10:BR13"/>
    <mergeCell ref="BG10:BG13"/>
    <mergeCell ref="BH10:BH13"/>
    <mergeCell ref="BI10:BI13"/>
    <mergeCell ref="BJ10:BJ13"/>
    <mergeCell ref="BK10:BK13"/>
    <mergeCell ref="BL10:BL13"/>
    <mergeCell ref="BA10:BA13"/>
    <mergeCell ref="BB10:BB13"/>
    <mergeCell ref="BC10:BC13"/>
    <mergeCell ref="BD10:BD13"/>
    <mergeCell ref="BE10:BE13"/>
    <mergeCell ref="BF10:BF13"/>
    <mergeCell ref="AU10:AU13"/>
    <mergeCell ref="AV10:AV13"/>
    <mergeCell ref="AW10:AW13"/>
    <mergeCell ref="AX10:AX13"/>
    <mergeCell ref="AY10:AY13"/>
    <mergeCell ref="AZ10:AZ13"/>
    <mergeCell ref="AO10:AO13"/>
    <mergeCell ref="AP10:AP13"/>
    <mergeCell ref="AQ10:AQ13"/>
    <mergeCell ref="AR10:AR13"/>
    <mergeCell ref="AS10:AS13"/>
    <mergeCell ref="AT10:AT13"/>
    <mergeCell ref="OL7:OO7"/>
    <mergeCell ref="PE7:PO7"/>
    <mergeCell ref="PP7:PR7"/>
    <mergeCell ref="JW7:KD7"/>
    <mergeCell ref="FP7:FR7"/>
    <mergeCell ref="FT7:FV7"/>
    <mergeCell ref="FX7:GC7"/>
    <mergeCell ref="GG7:GK7"/>
    <mergeCell ref="GM7:GN7"/>
    <mergeCell ref="GP7:GT7"/>
    <mergeCell ref="EV7:EY7"/>
    <mergeCell ref="EZ7:FA7"/>
    <mergeCell ref="FB7:FC7"/>
    <mergeCell ref="FD7:FE7"/>
    <mergeCell ref="FG7:FL7"/>
    <mergeCell ref="FM7:FO7"/>
    <mergeCell ref="DY7:ED7"/>
    <mergeCell ref="EE7:EH7"/>
    <mergeCell ref="PW7:PZ7"/>
    <mergeCell ref="RH7:RK7"/>
    <mergeCell ref="AJ10:AJ13"/>
    <mergeCell ref="AK10:AK13"/>
    <mergeCell ref="AL10:AL13"/>
    <mergeCell ref="AM10:AM13"/>
    <mergeCell ref="AN10:AN13"/>
    <mergeCell ref="MM7:MR7"/>
    <mergeCell ref="MV7:NA7"/>
    <mergeCell ref="NE7:NJ7"/>
    <mergeCell ref="NN7:NS7"/>
    <mergeCell ref="NW7:NZ7"/>
    <mergeCell ref="OD7:OG7"/>
    <mergeCell ref="KP7:KU7"/>
    <mergeCell ref="KY7:LB7"/>
    <mergeCell ref="LF7:LI7"/>
    <mergeCell ref="LM7:LP7"/>
    <mergeCell ref="LT7:LW7"/>
    <mergeCell ref="LZ7:ME7"/>
    <mergeCell ref="GX7:GZ7"/>
    <mergeCell ref="HD7:HF7"/>
    <mergeCell ref="HI7:HK7"/>
    <mergeCell ref="HL7:HN7"/>
    <mergeCell ref="HV7:HZ7"/>
    <mergeCell ref="EI7:EJ7"/>
    <mergeCell ref="EK7:EL7"/>
    <mergeCell ref="EM7:EN7"/>
    <mergeCell ref="EP7:EU7"/>
    <mergeCell ref="DJ7:DK7"/>
    <mergeCell ref="DL7:DN7"/>
    <mergeCell ref="DO7:DP7"/>
    <mergeCell ref="DQ7:DS7"/>
    <mergeCell ref="DT7:DU7"/>
    <mergeCell ref="DV7:DW7"/>
    <mergeCell ref="CW7:DB7"/>
    <mergeCell ref="DC7:DF7"/>
    <mergeCell ref="DG7:DI7"/>
    <mergeCell ref="BP7:BR7"/>
    <mergeCell ref="BS7:BT7"/>
    <mergeCell ref="BU7:BW7"/>
    <mergeCell ref="BX7:BY7"/>
    <mergeCell ref="BZ7:CA7"/>
    <mergeCell ref="CC7:CH7"/>
    <mergeCell ref="AP7:AU7"/>
    <mergeCell ref="AV7:AY7"/>
    <mergeCell ref="BA7:BF7"/>
    <mergeCell ref="BG7:BJ7"/>
    <mergeCell ref="BK7:BM7"/>
    <mergeCell ref="BN7:BO7"/>
    <mergeCell ref="CI7:CL7"/>
    <mergeCell ref="CN7:CQ7"/>
    <mergeCell ref="CR7:CU7"/>
  </mergeCells>
  <conditionalFormatting sqref="AJ10:UM13">
    <cfRule type="expression" dxfId="180" priority="463">
      <formula>AND(AJ$10&lt;&gt;"",AJ$10&lt;&gt;"TODAY")</formula>
    </cfRule>
  </conditionalFormatting>
  <conditionalFormatting sqref="AJ10:UM10">
    <cfRule type="expression" dxfId="179" priority="462">
      <formula>AJ$10="TODAY"</formula>
    </cfRule>
  </conditionalFormatting>
  <conditionalFormatting sqref="AJ14:UM14">
    <cfRule type="notContainsBlanks" dxfId="178" priority="461">
      <formula>LEN(TRIM(AJ14))&gt;0</formula>
    </cfRule>
  </conditionalFormatting>
  <conditionalFormatting sqref="AJ10:UM18">
    <cfRule type="expression" dxfId="177" priority="464">
      <formula>AJ$9=Red_Bookmark</formula>
    </cfRule>
  </conditionalFormatting>
  <conditionalFormatting sqref="V20:V21 V28:V29 V41:V42 V53:V54">
    <cfRule type="cellIs" dxfId="176" priority="460" operator="lessThan">
      <formula>0</formula>
    </cfRule>
  </conditionalFormatting>
  <conditionalFormatting sqref="AJ16:UM16">
    <cfRule type="expression" dxfId="175" priority="465">
      <formula>AND(AJ$10&lt;&gt;"TODAY",AJ$10&lt;&gt;"")</formula>
    </cfRule>
    <cfRule type="expression" dxfId="174" priority="466">
      <formula>AND(AJ$16&lt;&gt;O$16,AJ$10="TODAY")</formula>
    </cfRule>
    <cfRule type="expression" dxfId="173" priority="467">
      <formula>AND(AJ$10&lt;&gt;"TODAY",AJ$16&lt;&gt;AI$16)</formula>
    </cfRule>
  </conditionalFormatting>
  <conditionalFormatting sqref="LK7">
    <cfRule type="iconSet" priority="426">
      <iconSet>
        <cfvo type="percent" val="0"/>
        <cfvo type="percent" val="33"/>
        <cfvo type="percent" val="67"/>
      </iconSet>
    </cfRule>
  </conditionalFormatting>
  <conditionalFormatting sqref="LR7">
    <cfRule type="iconSet" priority="425">
      <iconSet iconSet="3Flags" reverse="1">
        <cfvo type="percent" val="0"/>
        <cfvo type="num" val="2"/>
        <cfvo type="num" val="3"/>
      </iconSet>
    </cfRule>
  </conditionalFormatting>
  <conditionalFormatting sqref="AI19:AI23 LD7 AI25 AI27:AI29 AI35:AI36 W40:W42 AE40:AI42">
    <cfRule type="dataBar" priority="424">
      <dataBar showValue="0">
        <cfvo type="num" val="0"/>
        <cfvo type="num" val="1"/>
        <color rgb="FF638EC6"/>
      </dataBar>
      <extLst>
        <ext xmlns:x14="http://schemas.microsoft.com/office/spreadsheetml/2009/9/main" uri="{B025F937-C7B1-47D3-B67F-A62EFF666E3E}">
          <x14:id>{44992B33-C239-499C-95EE-AD480249D4CF}</x14:id>
        </ext>
      </extLst>
    </cfRule>
  </conditionalFormatting>
  <conditionalFormatting sqref="KW7">
    <cfRule type="expression" dxfId="172" priority="423">
      <formula>KW$9=Red_Bookmark</formula>
    </cfRule>
  </conditionalFormatting>
  <conditionalFormatting sqref="MT7">
    <cfRule type="expression" dxfId="171" priority="422">
      <formula>MT$9=Red_Bookmark</formula>
    </cfRule>
  </conditionalFormatting>
  <conditionalFormatting sqref="NC7">
    <cfRule type="expression" dxfId="170" priority="421">
      <formula>NC$9=Red_Bookmark</formula>
    </cfRule>
  </conditionalFormatting>
  <conditionalFormatting sqref="NL7">
    <cfRule type="expression" dxfId="169" priority="420">
      <formula>NL$9=Red_Bookmark</formula>
    </cfRule>
  </conditionalFormatting>
  <conditionalFormatting sqref="NU7">
    <cfRule type="expression" dxfId="168" priority="419">
      <formula>NU$9=Red_Bookmark</formula>
    </cfRule>
  </conditionalFormatting>
  <conditionalFormatting sqref="OI7">
    <cfRule type="cellIs" dxfId="167" priority="418" operator="lessThan">
      <formula>0</formula>
    </cfRule>
  </conditionalFormatting>
  <conditionalFormatting sqref="KW7 AJ38:UM39 AJ41:UM42 AJ53:UM54 AJ44:UM51">
    <cfRule type="expression" dxfId="166" priority="427" stopIfTrue="1">
      <formula>AND(AJ$9&gt;=$Z7,AJ$9&lt;=$AC7,$AC7&lt;&gt;"",$AB7&gt;0,IF(AND($AB7&lt;=0.5,($AA7-$Z7)=0),0,1))</formula>
    </cfRule>
    <cfRule type="expression" dxfId="165" priority="428" stopIfTrue="1">
      <formula>AND($AA7&lt;&gt;1,$AC7&lt;=AJ$9,$AA7&gt;=AJ$9,AJ$9&lt;Red_Bookmark)</formula>
    </cfRule>
    <cfRule type="expression" dxfId="164" priority="429" stopIfTrue="1">
      <formula>AND(AJ$9&gt;=$AC7,AJ$9&lt;=$AA7,$AC7&lt;&gt;"")</formula>
    </cfRule>
    <cfRule type="expression" dxfId="163" priority="430">
      <formula>IF(AJ$8,0,1)</formula>
    </cfRule>
  </conditionalFormatting>
  <conditionalFormatting sqref="MT7">
    <cfRule type="expression" dxfId="162" priority="431" stopIfTrue="1">
      <formula>AND(MT$9&gt;=$Z7,MT$9&lt;=$AC7,$AC7&lt;&gt;"",$AB7&gt;0,IF(AND($AB7&lt;=0.5,($AA7-$Z7)=0),0,1))</formula>
    </cfRule>
    <cfRule type="expression" dxfId="161" priority="432" stopIfTrue="1">
      <formula>AND($AA7&lt;&gt;1,$AC7&lt;=MT$9,$AA7&gt;=MT$9,MT$9&lt;Red_Bookmark)</formula>
    </cfRule>
    <cfRule type="expression" dxfId="160" priority="433" stopIfTrue="1">
      <formula>AND(MT$9&gt;=$AC7,MT$9&lt;=$AA7,$AC7&lt;&gt;"")</formula>
    </cfRule>
    <cfRule type="expression" dxfId="159" priority="434">
      <formula>IF(MT$8,0,1)</formula>
    </cfRule>
  </conditionalFormatting>
  <conditionalFormatting sqref="NC7">
    <cfRule type="expression" dxfId="158" priority="435" stopIfTrue="1">
      <formula>AND(NC$9&gt;=$Z7,NC$9&lt;=$AC7,$AC7&lt;&gt;"",$AB7&gt;0,IF(AND($AB7&lt;=0.5,($AA7-$Z7)=0),0,1))</formula>
    </cfRule>
    <cfRule type="expression" dxfId="157" priority="436" stopIfTrue="1">
      <formula>AND($AA7&lt;&gt;1,$AC7&lt;=NC$9,$AA7&gt;=NC$9,NC$9&lt;Red_Bookmark)</formula>
    </cfRule>
    <cfRule type="expression" dxfId="156" priority="437" stopIfTrue="1">
      <formula>AND(NC$9&gt;=$AC7,NC$9&lt;=$AA7,$AC7&lt;&gt;"")</formula>
    </cfRule>
    <cfRule type="expression" dxfId="155" priority="438">
      <formula>IF(NC$8,0,1)</formula>
    </cfRule>
  </conditionalFormatting>
  <conditionalFormatting sqref="NL7">
    <cfRule type="expression" dxfId="154" priority="439" stopIfTrue="1">
      <formula>AND(NL$9&gt;=$Z7,NL$9&lt;=$AC7,$AC7&lt;&gt;"",$AB7&gt;0,IF(AND($AB7&lt;=0.5,($AA7-$Z7)=0),0,1))</formula>
    </cfRule>
    <cfRule type="expression" dxfId="153" priority="440" stopIfTrue="1">
      <formula>AND($AA7&lt;&gt;1,$AC7&lt;=NL$9,$AA7&gt;=NL$9,NL$9&lt;Red_Bookmark)</formula>
    </cfRule>
    <cfRule type="expression" dxfId="152" priority="441" stopIfTrue="1">
      <formula>AND(NL$9&gt;=$AC7,NL$9&lt;=$AA7,$AC7&lt;&gt;"")</formula>
    </cfRule>
    <cfRule type="expression" dxfId="151" priority="442">
      <formula>IF(NL$8,0,1)</formula>
    </cfRule>
  </conditionalFormatting>
  <conditionalFormatting sqref="NU7">
    <cfRule type="expression" dxfId="150" priority="443" stopIfTrue="1">
      <formula>AND(NU$9&gt;=$Z7,NU$9&lt;=$AC7,$AC7&lt;&gt;"",$AB7&gt;0,IF(AND($AB7&lt;=0.5,($AA7-$Z7)=0),0,1))</formula>
    </cfRule>
    <cfRule type="expression" dxfId="149" priority="444" stopIfTrue="1">
      <formula>AND($AA7&lt;&gt;1,$AC7&lt;=NU$9,$AA7&gt;=NU$9,NU$9&lt;Red_Bookmark)</formula>
    </cfRule>
    <cfRule type="expression" dxfId="148" priority="445" stopIfTrue="1">
      <formula>AND(NU$9&gt;=$AC7,NU$9&lt;=$AA7,$AC7&lt;&gt;"")</formula>
    </cfRule>
    <cfRule type="expression" dxfId="147" priority="446">
      <formula>IF(NU$8,0,1)</formula>
    </cfRule>
  </conditionalFormatting>
  <conditionalFormatting sqref="OQ7 U41:U42 U53:U54">
    <cfRule type="expression" dxfId="146" priority="417">
      <formula>IF(AND(U7="",$R7&gt;0),1,0)</formula>
    </cfRule>
  </conditionalFormatting>
  <conditionalFormatting sqref="MG7">
    <cfRule type="expression" dxfId="145" priority="447">
      <formula>IF($Q7=10,AND(MG$9&gt;=$Z7,MG$9&lt;=$AA7,$AC7&lt;&gt;""))</formula>
    </cfRule>
    <cfRule type="expression" dxfId="144" priority="448">
      <formula>IF($Q7=9,AND(MG$9&gt;=$Z7,MG$9&lt;=$AA7,$AC7&lt;&gt;""))</formula>
    </cfRule>
    <cfRule type="expression" dxfId="143" priority="449">
      <formula>IF($Q7=8,AND(MG$9&gt;=$Z7,MG$9&lt;=$AA7,$AC7&lt;&gt;""))</formula>
    </cfRule>
    <cfRule type="expression" dxfId="142" priority="450">
      <formula>IF($Q7=7,AND(MG$9&gt;=$Z7,MG$9&lt;=$AA7,$AC7&lt;&gt;""))</formula>
    </cfRule>
    <cfRule type="expression" dxfId="141" priority="451">
      <formula>IF(OR($Q7=0,$Q7&gt;10),AND(MG$9&gt;=$Z7,MG$9&lt;=$AA7,$AC7&lt;&gt;""))</formula>
    </cfRule>
    <cfRule type="expression" dxfId="140" priority="452">
      <formula>MG$9=Red_Bookmark</formula>
    </cfRule>
  </conditionalFormatting>
  <conditionalFormatting sqref="MG7">
    <cfRule type="expression" dxfId="139" priority="453" stopIfTrue="1">
      <formula>IF($Q7=6,AND(MG$9&gt;=$Z7,MG$9&lt;=$AA7,$AC7&lt;&gt;""))</formula>
    </cfRule>
    <cfRule type="expression" dxfId="138" priority="454">
      <formula>IF($Q7=5,AND(MG$9&gt;=$Z7,MG$9&lt;=$AA7,$AC7&lt;&gt;""))</formula>
    </cfRule>
    <cfRule type="expression" dxfId="137" priority="455">
      <formula>IF($Q7=4,AND(MG$9&gt;=$Z7,MG$9&lt;=$AA7,$AC7&lt;&gt;""))</formula>
    </cfRule>
    <cfRule type="expression" dxfId="136" priority="456">
      <formula>IF($Q7=3,AND(MG$9&gt;=$Z7,MG$9&lt;=$AA7,$AC7&lt;&gt;""))</formula>
    </cfRule>
    <cfRule type="expression" dxfId="135" priority="457">
      <formula>IF($Q7=2,AND(MG$9&gt;=$Z7,MG$9&lt;=$AA7,$AC7&lt;&gt;""))</formula>
    </cfRule>
    <cfRule type="expression" dxfId="134" priority="458" stopIfTrue="1">
      <formula>IF($Q7=1,AND(MG$9&gt;=$Z7,MG$9&lt;=$AA7,$AC7&lt;&gt;""))</formula>
    </cfRule>
    <cfRule type="expression" dxfId="133" priority="459">
      <formula>IF(MG$8,0,1)</formula>
    </cfRule>
  </conditionalFormatting>
  <conditionalFormatting sqref="AJ19:UM19">
    <cfRule type="expression" dxfId="132" priority="416">
      <formula>AJ$9=Red_Bookmark</formula>
    </cfRule>
  </conditionalFormatting>
  <conditionalFormatting sqref="T19">
    <cfRule type="cellIs" dxfId="131" priority="415" operator="lessThan">
      <formula>0</formula>
    </cfRule>
  </conditionalFormatting>
  <conditionalFormatting sqref="AJ27:UM27">
    <cfRule type="expression" dxfId="130" priority="414">
      <formula>AJ$9=Red_Bookmark</formula>
    </cfRule>
  </conditionalFormatting>
  <conditionalFormatting sqref="T27">
    <cfRule type="cellIs" dxfId="129" priority="413" operator="lessThan">
      <formula>0</formula>
    </cfRule>
  </conditionalFormatting>
  <conditionalFormatting sqref="AJ35:UM35">
    <cfRule type="expression" dxfId="128" priority="412">
      <formula>AJ$9=Red_Bookmark</formula>
    </cfRule>
  </conditionalFormatting>
  <conditionalFormatting sqref="AJ40:UM40">
    <cfRule type="expression" dxfId="127" priority="411">
      <formula>AJ$9=Red_Bookmark</formula>
    </cfRule>
  </conditionalFormatting>
  <conditionalFormatting sqref="AJ52:UM52">
    <cfRule type="expression" dxfId="126" priority="410">
      <formula>AJ$9=Red_Bookmark</formula>
    </cfRule>
  </conditionalFormatting>
  <conditionalFormatting sqref="V22">
    <cfRule type="cellIs" dxfId="125" priority="408" operator="lessThan">
      <formula>0</formula>
    </cfRule>
  </conditionalFormatting>
  <conditionalFormatting sqref="AJ22:UM22">
    <cfRule type="expression" dxfId="124" priority="403">
      <formula>AJ$9=Red_Bookmark</formula>
    </cfRule>
  </conditionalFormatting>
  <conditionalFormatting sqref="AJ22:UM22">
    <cfRule type="expression" dxfId="123" priority="404" stopIfTrue="1">
      <formula>AND(AJ$9&gt;=$Z22,AJ$9&lt;=$AC22,$AC22&lt;&gt;"",$AB22&gt;0,IF(AND($AB22&lt;=0.5,($AA22-$Z22)=0),0,1))</formula>
    </cfRule>
    <cfRule type="expression" dxfId="122" priority="405" stopIfTrue="1">
      <formula>AND($AA22&lt;&gt;1,$AC22&lt;=AJ$9,$AA22&gt;=AJ$9,AJ$9&lt;Red_Bookmark)</formula>
    </cfRule>
    <cfRule type="expression" dxfId="121" priority="406" stopIfTrue="1">
      <formula>AND(AJ$9&gt;=$AC22,AJ$9&lt;=$AA22,$AC22&lt;&gt;"")</formula>
    </cfRule>
    <cfRule type="expression" dxfId="120" priority="407">
      <formula>IF(AJ$8,0,1)</formula>
    </cfRule>
  </conditionalFormatting>
  <conditionalFormatting sqref="T22">
    <cfRule type="cellIs" dxfId="119" priority="402" operator="lessThan">
      <formula>0</formula>
    </cfRule>
  </conditionalFormatting>
  <conditionalFormatting sqref="AJ23:UM23">
    <cfRule type="expression" dxfId="118" priority="401">
      <formula>AJ$9=Red_Bookmark</formula>
    </cfRule>
  </conditionalFormatting>
  <conditionalFormatting sqref="V25">
    <cfRule type="cellIs" dxfId="117" priority="397" operator="lessThan">
      <formula>0</formula>
    </cfRule>
  </conditionalFormatting>
  <conditionalFormatting sqref="V36">
    <cfRule type="cellIs" dxfId="116" priority="396" operator="lessThan">
      <formula>0</formula>
    </cfRule>
  </conditionalFormatting>
  <conditionalFormatting sqref="T23">
    <cfRule type="cellIs" dxfId="115" priority="393" operator="lessThan">
      <formula>0</formula>
    </cfRule>
  </conditionalFormatting>
  <conditionalFormatting sqref="T35">
    <cfRule type="cellIs" dxfId="114" priority="392" operator="lessThan">
      <formula>0</formula>
    </cfRule>
  </conditionalFormatting>
  <conditionalFormatting sqref="T40">
    <cfRule type="cellIs" dxfId="113" priority="391" operator="lessThan">
      <formula>0</formula>
    </cfRule>
  </conditionalFormatting>
  <conditionalFormatting sqref="T52">
    <cfRule type="cellIs" dxfId="112" priority="390" operator="lessThan">
      <formula>0</formula>
    </cfRule>
  </conditionalFormatting>
  <conditionalFormatting sqref="AI52:AI54">
    <cfRule type="dataBar" priority="389">
      <dataBar showValue="0">
        <cfvo type="num" val="0"/>
        <cfvo type="num" val="1"/>
        <color rgb="FF638EC6"/>
      </dataBar>
      <extLst>
        <ext xmlns:x14="http://schemas.microsoft.com/office/spreadsheetml/2009/9/main" uri="{B025F937-C7B1-47D3-B67F-A62EFF666E3E}">
          <x14:id>{92D75DFC-45C5-4FFC-A42C-DA72EFDB9D76}</x14:id>
        </ext>
      </extLst>
    </cfRule>
  </conditionalFormatting>
  <conditionalFormatting sqref="AI24">
    <cfRule type="dataBar" priority="328">
      <dataBar showValue="0">
        <cfvo type="num" val="0"/>
        <cfvo type="num" val="1"/>
        <color rgb="FF638EC6"/>
      </dataBar>
      <extLst>
        <ext xmlns:x14="http://schemas.microsoft.com/office/spreadsheetml/2009/9/main" uri="{B025F937-C7B1-47D3-B67F-A62EFF666E3E}">
          <x14:id>{E55BF426-390C-44B5-8119-33C482439B2F}</x14:id>
        </ext>
      </extLst>
    </cfRule>
  </conditionalFormatting>
  <conditionalFormatting sqref="V24">
    <cfRule type="cellIs" dxfId="111" priority="326" operator="lessThan">
      <formula>0</formula>
    </cfRule>
  </conditionalFormatting>
  <conditionalFormatting sqref="U20:U22 U24:U25 U28:U29 U36">
    <cfRule type="expression" dxfId="110" priority="284">
      <formula>IF(AND(U20="",$R20&gt;0),1,0)</formula>
    </cfRule>
  </conditionalFormatting>
  <conditionalFormatting sqref="AJ53:UM54 AJ41:UM42 AJ36:UM36 AJ28:UM29 AJ24:UM25 AJ20:UM21">
    <cfRule type="expression" dxfId="109" priority="277">
      <formula>AJ$9=Red_Bookmark</formula>
    </cfRule>
  </conditionalFormatting>
  <conditionalFormatting sqref="AJ36:UM36 AJ28:UM29 AJ24:UM25 AJ20:UM21">
    <cfRule type="expression" dxfId="108" priority="278" stopIfTrue="1">
      <formula>AND(AJ$9&gt;=$Z20,AJ$9&lt;=$AC20,$AC20&lt;&gt;"",$AB20&gt;0,IF(AND($AB20&lt;=0.5,($AA20-$Z20)=0),0,1))</formula>
    </cfRule>
    <cfRule type="expression" dxfId="107" priority="279" stopIfTrue="1">
      <formula>AND($AA20&lt;&gt;1,$AC20&lt;=AJ$9,$AA20&gt;=AJ$9,AJ$9&lt;Red_Bookmark)</formula>
    </cfRule>
    <cfRule type="expression" dxfId="106" priority="280" stopIfTrue="1">
      <formula>AND(AJ$9&gt;=$AC20,AJ$9&lt;=$AA20,$AC20&lt;&gt;"")</formula>
    </cfRule>
    <cfRule type="expression" dxfId="105" priority="281">
      <formula>IF(AJ$8,0,1)</formula>
    </cfRule>
  </conditionalFormatting>
  <conditionalFormatting sqref="T53:T54 T41:T42 T36 T28:T29 T24:T25 T20:T21">
    <cfRule type="cellIs" dxfId="104" priority="276" operator="lessThan">
      <formula>0</formula>
    </cfRule>
  </conditionalFormatting>
  <conditionalFormatting sqref="AE19:AH23 AE25:AH25 AE27:AH29 AE35:AH36">
    <cfRule type="dataBar" priority="275">
      <dataBar showValue="0">
        <cfvo type="num" val="0"/>
        <cfvo type="num" val="1"/>
        <color rgb="FF638EC6"/>
      </dataBar>
      <extLst>
        <ext xmlns:x14="http://schemas.microsoft.com/office/spreadsheetml/2009/9/main" uri="{B025F937-C7B1-47D3-B67F-A62EFF666E3E}">
          <x14:id>{D982B2C8-73A0-4D28-81C0-A9A0B80A7442}</x14:id>
        </ext>
      </extLst>
    </cfRule>
  </conditionalFormatting>
  <conditionalFormatting sqref="AE52:AH54">
    <cfRule type="dataBar" priority="274">
      <dataBar showValue="0">
        <cfvo type="num" val="0"/>
        <cfvo type="num" val="1"/>
        <color rgb="FF638EC6"/>
      </dataBar>
      <extLst>
        <ext xmlns:x14="http://schemas.microsoft.com/office/spreadsheetml/2009/9/main" uri="{B025F937-C7B1-47D3-B67F-A62EFF666E3E}">
          <x14:id>{87391E97-79A3-4CE7-846E-183520EB5B00}</x14:id>
        </ext>
      </extLst>
    </cfRule>
  </conditionalFormatting>
  <conditionalFormatting sqref="AE24:AH24">
    <cfRule type="dataBar" priority="272">
      <dataBar showValue="0">
        <cfvo type="num" val="0"/>
        <cfvo type="num" val="1"/>
        <color rgb="FF638EC6"/>
      </dataBar>
      <extLst>
        <ext xmlns:x14="http://schemas.microsoft.com/office/spreadsheetml/2009/9/main" uri="{B025F937-C7B1-47D3-B67F-A62EFF666E3E}">
          <x14:id>{E0ACCAB8-4B41-425B-ADD9-3EEDB19A1AEF}</x14:id>
        </ext>
      </extLst>
    </cfRule>
  </conditionalFormatting>
  <conditionalFormatting sqref="W19:W23 W25 W27:W29 W35:W36">
    <cfRule type="dataBar" priority="271">
      <dataBar showValue="0">
        <cfvo type="num" val="0"/>
        <cfvo type="num" val="1"/>
        <color rgb="FF638EC6"/>
      </dataBar>
      <extLst>
        <ext xmlns:x14="http://schemas.microsoft.com/office/spreadsheetml/2009/9/main" uri="{B025F937-C7B1-47D3-B67F-A62EFF666E3E}">
          <x14:id>{EC4EFCDF-B470-4525-BCD6-E109F83FCDD8}</x14:id>
        </ext>
      </extLst>
    </cfRule>
  </conditionalFormatting>
  <conditionalFormatting sqref="W52:W54">
    <cfRule type="dataBar" priority="270">
      <dataBar showValue="0">
        <cfvo type="num" val="0"/>
        <cfvo type="num" val="1"/>
        <color rgb="FF638EC6"/>
      </dataBar>
      <extLst>
        <ext xmlns:x14="http://schemas.microsoft.com/office/spreadsheetml/2009/9/main" uri="{B025F937-C7B1-47D3-B67F-A62EFF666E3E}">
          <x14:id>{D5C9D8B8-92D3-4F90-9553-60277E0F65BF}</x14:id>
        </ext>
      </extLst>
    </cfRule>
  </conditionalFormatting>
  <conditionalFormatting sqref="W24">
    <cfRule type="dataBar" priority="268">
      <dataBar showValue="0">
        <cfvo type="num" val="0"/>
        <cfvo type="num" val="1"/>
        <color rgb="FF638EC6"/>
      </dataBar>
      <extLst>
        <ext xmlns:x14="http://schemas.microsoft.com/office/spreadsheetml/2009/9/main" uri="{B025F937-C7B1-47D3-B67F-A62EFF666E3E}">
          <x14:id>{65EC463A-68FA-409D-8C02-1254480AEA5C}</x14:id>
        </ext>
      </extLst>
    </cfRule>
  </conditionalFormatting>
  <conditionalFormatting sqref="V26">
    <cfRule type="cellIs" dxfId="103" priority="267" operator="lessThan">
      <formula>0</formula>
    </cfRule>
  </conditionalFormatting>
  <conditionalFormatting sqref="AI26">
    <cfRule type="dataBar" priority="266">
      <dataBar showValue="0">
        <cfvo type="num" val="0"/>
        <cfvo type="num" val="1"/>
        <color rgb="FF638EC6"/>
      </dataBar>
      <extLst>
        <ext xmlns:x14="http://schemas.microsoft.com/office/spreadsheetml/2009/9/main" uri="{B025F937-C7B1-47D3-B67F-A62EFF666E3E}">
          <x14:id>{BD9F0F25-B357-4D78-B012-B36AEB97335C}</x14:id>
        </ext>
      </extLst>
    </cfRule>
  </conditionalFormatting>
  <conditionalFormatting sqref="L26">
    <cfRule type="iconSet" priority="265">
      <iconSet iconSet="3Flags" reverse="1">
        <cfvo type="percent" val="0"/>
        <cfvo type="num" val="2"/>
        <cfvo type="num" val="3"/>
      </iconSet>
    </cfRule>
  </conditionalFormatting>
  <conditionalFormatting sqref="U26">
    <cfRule type="expression" dxfId="102" priority="264">
      <formula>IF(AND(U26="",$R26&gt;0),1,0)</formula>
    </cfRule>
  </conditionalFormatting>
  <conditionalFormatting sqref="AD26">
    <cfRule type="iconSet" priority="263">
      <iconSet>
        <cfvo type="percent" val="0"/>
        <cfvo type="percent" val="33"/>
        <cfvo type="percent" val="67"/>
      </iconSet>
    </cfRule>
  </conditionalFormatting>
  <conditionalFormatting sqref="AJ26:UM26">
    <cfRule type="expression" dxfId="101" priority="258">
      <formula>AJ$9=Red_Bookmark</formula>
    </cfRule>
  </conditionalFormatting>
  <conditionalFormatting sqref="AJ26:UM26">
    <cfRule type="expression" dxfId="100" priority="259" stopIfTrue="1">
      <formula>AND(AJ$9&gt;=$Z26,AJ$9&lt;=$AC26,$AC26&lt;&gt;"",$AB26&gt;0,IF(AND($AB26&lt;=0.5,($AA26-$Z26)=0),0,1))</formula>
    </cfRule>
    <cfRule type="expression" dxfId="99" priority="260" stopIfTrue="1">
      <formula>AND($AA26&lt;&gt;1,$AC26&lt;=AJ$9,$AA26&gt;=AJ$9,AJ$9&lt;Red_Bookmark)</formula>
    </cfRule>
    <cfRule type="expression" dxfId="98" priority="261" stopIfTrue="1">
      <formula>AND(AJ$9&gt;=$AC26,AJ$9&lt;=$AA26,$AC26&lt;&gt;"")</formula>
    </cfRule>
    <cfRule type="expression" dxfId="97" priority="262">
      <formula>IF(AJ$8,0,1)</formula>
    </cfRule>
  </conditionalFormatting>
  <conditionalFormatting sqref="T26">
    <cfRule type="cellIs" dxfId="96" priority="257" operator="lessThan">
      <formula>0</formula>
    </cfRule>
  </conditionalFormatting>
  <conditionalFormatting sqref="AE26:AH26">
    <cfRule type="dataBar" priority="256">
      <dataBar showValue="0">
        <cfvo type="num" val="0"/>
        <cfvo type="num" val="1"/>
        <color rgb="FF638EC6"/>
      </dataBar>
      <extLst>
        <ext xmlns:x14="http://schemas.microsoft.com/office/spreadsheetml/2009/9/main" uri="{B025F937-C7B1-47D3-B67F-A62EFF666E3E}">
          <x14:id>{D6C90490-496F-42D4-9C26-D9D96F5502D3}</x14:id>
        </ext>
      </extLst>
    </cfRule>
  </conditionalFormatting>
  <conditionalFormatting sqref="W26">
    <cfRule type="dataBar" priority="255">
      <dataBar showValue="0">
        <cfvo type="num" val="0"/>
        <cfvo type="num" val="1"/>
        <color rgb="FF638EC6"/>
      </dataBar>
      <extLst>
        <ext xmlns:x14="http://schemas.microsoft.com/office/spreadsheetml/2009/9/main" uri="{B025F937-C7B1-47D3-B67F-A62EFF666E3E}">
          <x14:id>{DEA41E0F-23DD-45DB-9122-7578FFD3F583}</x14:id>
        </ext>
      </extLst>
    </cfRule>
  </conditionalFormatting>
  <conditionalFormatting sqref="V30">
    <cfRule type="cellIs" dxfId="95" priority="254" operator="lessThan">
      <formula>0</formula>
    </cfRule>
  </conditionalFormatting>
  <conditionalFormatting sqref="AI30">
    <cfRule type="dataBar" priority="253">
      <dataBar showValue="0">
        <cfvo type="num" val="0"/>
        <cfvo type="num" val="1"/>
        <color rgb="FF638EC6"/>
      </dataBar>
      <extLst>
        <ext xmlns:x14="http://schemas.microsoft.com/office/spreadsheetml/2009/9/main" uri="{B025F937-C7B1-47D3-B67F-A62EFF666E3E}">
          <x14:id>{9CB87466-8D46-4E4A-BE3D-67BA0F41F54A}</x14:id>
        </ext>
      </extLst>
    </cfRule>
  </conditionalFormatting>
  <conditionalFormatting sqref="L30">
    <cfRule type="iconSet" priority="252">
      <iconSet iconSet="3Flags" reverse="1">
        <cfvo type="percent" val="0"/>
        <cfvo type="num" val="2"/>
        <cfvo type="num" val="3"/>
      </iconSet>
    </cfRule>
  </conditionalFormatting>
  <conditionalFormatting sqref="U30">
    <cfRule type="expression" dxfId="94" priority="251">
      <formula>IF(AND(U30="",$R30&gt;0),1,0)</formula>
    </cfRule>
  </conditionalFormatting>
  <conditionalFormatting sqref="AD30">
    <cfRule type="iconSet" priority="250">
      <iconSet>
        <cfvo type="percent" val="0"/>
        <cfvo type="percent" val="33"/>
        <cfvo type="percent" val="67"/>
      </iconSet>
    </cfRule>
  </conditionalFormatting>
  <conditionalFormatting sqref="AJ30:UM30">
    <cfRule type="expression" dxfId="93" priority="245">
      <formula>AJ$9=Red_Bookmark</formula>
    </cfRule>
  </conditionalFormatting>
  <conditionalFormatting sqref="AJ30:UM30">
    <cfRule type="expression" dxfId="92" priority="246" stopIfTrue="1">
      <formula>AND(AJ$9&gt;=$Z30,AJ$9&lt;=$AC30,$AC30&lt;&gt;"",$AB30&gt;0,IF(AND($AB30&lt;=0.5,($AA30-$Z30)=0),0,1))</formula>
    </cfRule>
    <cfRule type="expression" dxfId="91" priority="247" stopIfTrue="1">
      <formula>AND($AA30&lt;&gt;1,$AC30&lt;=AJ$9,$AA30&gt;=AJ$9,AJ$9&lt;Red_Bookmark)</formula>
    </cfRule>
    <cfRule type="expression" dxfId="90" priority="248" stopIfTrue="1">
      <formula>AND(AJ$9&gt;=$AC30,AJ$9&lt;=$AA30,$AC30&lt;&gt;"")</formula>
    </cfRule>
    <cfRule type="expression" dxfId="89" priority="249">
      <formula>IF(AJ$8,0,1)</formula>
    </cfRule>
  </conditionalFormatting>
  <conditionalFormatting sqref="T30">
    <cfRule type="cellIs" dxfId="88" priority="244" operator="lessThan">
      <formula>0</formula>
    </cfRule>
  </conditionalFormatting>
  <conditionalFormatting sqref="AE30:AH30">
    <cfRule type="dataBar" priority="243">
      <dataBar showValue="0">
        <cfvo type="num" val="0"/>
        <cfvo type="num" val="1"/>
        <color rgb="FF638EC6"/>
      </dataBar>
      <extLst>
        <ext xmlns:x14="http://schemas.microsoft.com/office/spreadsheetml/2009/9/main" uri="{B025F937-C7B1-47D3-B67F-A62EFF666E3E}">
          <x14:id>{3330E347-60F6-46B2-9B16-33B558CA5841}</x14:id>
        </ext>
      </extLst>
    </cfRule>
  </conditionalFormatting>
  <conditionalFormatting sqref="W30">
    <cfRule type="dataBar" priority="242">
      <dataBar showValue="0">
        <cfvo type="num" val="0"/>
        <cfvo type="num" val="1"/>
        <color rgb="FF638EC6"/>
      </dataBar>
      <extLst>
        <ext xmlns:x14="http://schemas.microsoft.com/office/spreadsheetml/2009/9/main" uri="{B025F937-C7B1-47D3-B67F-A62EFF666E3E}">
          <x14:id>{4BC4D0CA-3B13-4762-A767-0387D36D2DF3}</x14:id>
        </ext>
      </extLst>
    </cfRule>
  </conditionalFormatting>
  <conditionalFormatting sqref="V31">
    <cfRule type="cellIs" dxfId="87" priority="241" operator="lessThan">
      <formula>0</formula>
    </cfRule>
  </conditionalFormatting>
  <conditionalFormatting sqref="AI31">
    <cfRule type="dataBar" priority="240">
      <dataBar showValue="0">
        <cfvo type="num" val="0"/>
        <cfvo type="num" val="1"/>
        <color rgb="FF638EC6"/>
      </dataBar>
      <extLst>
        <ext xmlns:x14="http://schemas.microsoft.com/office/spreadsheetml/2009/9/main" uri="{B025F937-C7B1-47D3-B67F-A62EFF666E3E}">
          <x14:id>{C3E23B50-D90C-479F-9142-A20C3527E199}</x14:id>
        </ext>
      </extLst>
    </cfRule>
  </conditionalFormatting>
  <conditionalFormatting sqref="L31">
    <cfRule type="iconSet" priority="239">
      <iconSet iconSet="3Flags" reverse="1">
        <cfvo type="percent" val="0"/>
        <cfvo type="num" val="2"/>
        <cfvo type="num" val="3"/>
      </iconSet>
    </cfRule>
  </conditionalFormatting>
  <conditionalFormatting sqref="U31">
    <cfRule type="expression" dxfId="86" priority="238">
      <formula>IF(AND(U31="",$R31&gt;0),1,0)</formula>
    </cfRule>
  </conditionalFormatting>
  <conditionalFormatting sqref="AD31">
    <cfRule type="iconSet" priority="237">
      <iconSet>
        <cfvo type="percent" val="0"/>
        <cfvo type="percent" val="33"/>
        <cfvo type="percent" val="67"/>
      </iconSet>
    </cfRule>
  </conditionalFormatting>
  <conditionalFormatting sqref="AJ31:UM31">
    <cfRule type="expression" dxfId="85" priority="232">
      <formula>AJ$9=Red_Bookmark</formula>
    </cfRule>
  </conditionalFormatting>
  <conditionalFormatting sqref="AJ31:UM31">
    <cfRule type="expression" dxfId="84" priority="233" stopIfTrue="1">
      <formula>AND(AJ$9&gt;=$Z31,AJ$9&lt;=$AC31,$AC31&lt;&gt;"",$AB31&gt;0,IF(AND($AB31&lt;=0.5,($AA31-$Z31)=0),0,1))</formula>
    </cfRule>
    <cfRule type="expression" dxfId="83" priority="234" stopIfTrue="1">
      <formula>AND($AA31&lt;&gt;1,$AC31&lt;=AJ$9,$AA31&gt;=AJ$9,AJ$9&lt;Red_Bookmark)</formula>
    </cfRule>
    <cfRule type="expression" dxfId="82" priority="235" stopIfTrue="1">
      <formula>AND(AJ$9&gt;=$AC31,AJ$9&lt;=$AA31,$AC31&lt;&gt;"")</formula>
    </cfRule>
    <cfRule type="expression" dxfId="81" priority="236">
      <formula>IF(AJ$8,0,1)</formula>
    </cfRule>
  </conditionalFormatting>
  <conditionalFormatting sqref="T31">
    <cfRule type="cellIs" dxfId="80" priority="231" operator="lessThan">
      <formula>0</formula>
    </cfRule>
  </conditionalFormatting>
  <conditionalFormatting sqref="AE31:AH31">
    <cfRule type="dataBar" priority="230">
      <dataBar showValue="0">
        <cfvo type="num" val="0"/>
        <cfvo type="num" val="1"/>
        <color rgb="FF638EC6"/>
      </dataBar>
      <extLst>
        <ext xmlns:x14="http://schemas.microsoft.com/office/spreadsheetml/2009/9/main" uri="{B025F937-C7B1-47D3-B67F-A62EFF666E3E}">
          <x14:id>{27630BC7-F46E-4A4D-AB2C-0449A572E586}</x14:id>
        </ext>
      </extLst>
    </cfRule>
  </conditionalFormatting>
  <conditionalFormatting sqref="W31">
    <cfRule type="dataBar" priority="229">
      <dataBar showValue="0">
        <cfvo type="num" val="0"/>
        <cfvo type="num" val="1"/>
        <color rgb="FF638EC6"/>
      </dataBar>
      <extLst>
        <ext xmlns:x14="http://schemas.microsoft.com/office/spreadsheetml/2009/9/main" uri="{B025F937-C7B1-47D3-B67F-A62EFF666E3E}">
          <x14:id>{0839E841-5772-4CB8-87B1-B80D1018858E}</x14:id>
        </ext>
      </extLst>
    </cfRule>
  </conditionalFormatting>
  <conditionalFormatting sqref="V32">
    <cfRule type="cellIs" dxfId="79" priority="228" operator="lessThan">
      <formula>0</formula>
    </cfRule>
  </conditionalFormatting>
  <conditionalFormatting sqref="AI32">
    <cfRule type="dataBar" priority="227">
      <dataBar showValue="0">
        <cfvo type="num" val="0"/>
        <cfvo type="num" val="1"/>
        <color rgb="FF638EC6"/>
      </dataBar>
      <extLst>
        <ext xmlns:x14="http://schemas.microsoft.com/office/spreadsheetml/2009/9/main" uri="{B025F937-C7B1-47D3-B67F-A62EFF666E3E}">
          <x14:id>{72F65AC7-4BB6-460C-899B-EDE1AFC45C85}</x14:id>
        </ext>
      </extLst>
    </cfRule>
  </conditionalFormatting>
  <conditionalFormatting sqref="L32">
    <cfRule type="iconSet" priority="226">
      <iconSet iconSet="3Flags" reverse="1">
        <cfvo type="percent" val="0"/>
        <cfvo type="num" val="2"/>
        <cfvo type="num" val="3"/>
      </iconSet>
    </cfRule>
  </conditionalFormatting>
  <conditionalFormatting sqref="U32">
    <cfRule type="expression" dxfId="78" priority="225">
      <formula>IF(AND(U32="",$R32&gt;0),1,0)</formula>
    </cfRule>
  </conditionalFormatting>
  <conditionalFormatting sqref="AD32">
    <cfRule type="iconSet" priority="224">
      <iconSet>
        <cfvo type="percent" val="0"/>
        <cfvo type="percent" val="33"/>
        <cfvo type="percent" val="67"/>
      </iconSet>
    </cfRule>
  </conditionalFormatting>
  <conditionalFormatting sqref="AJ32:UM32">
    <cfRule type="expression" dxfId="77" priority="219">
      <formula>AJ$9=Red_Bookmark</formula>
    </cfRule>
  </conditionalFormatting>
  <conditionalFormatting sqref="AJ32:UM32">
    <cfRule type="expression" dxfId="76" priority="220" stopIfTrue="1">
      <formula>AND(AJ$9&gt;=$Z32,AJ$9&lt;=$AC32,$AC32&lt;&gt;"",$AB32&gt;0,IF(AND($AB32&lt;=0.5,($AA32-$Z32)=0),0,1))</formula>
    </cfRule>
    <cfRule type="expression" dxfId="75" priority="221" stopIfTrue="1">
      <formula>AND($AA32&lt;&gt;1,$AC32&lt;=AJ$9,$AA32&gt;=AJ$9,AJ$9&lt;Red_Bookmark)</formula>
    </cfRule>
    <cfRule type="expression" dxfId="74" priority="222" stopIfTrue="1">
      <formula>AND(AJ$9&gt;=$AC32,AJ$9&lt;=$AA32,$AC32&lt;&gt;"")</formula>
    </cfRule>
    <cfRule type="expression" dxfId="73" priority="223">
      <formula>IF(AJ$8,0,1)</formula>
    </cfRule>
  </conditionalFormatting>
  <conditionalFormatting sqref="T32">
    <cfRule type="cellIs" dxfId="72" priority="218" operator="lessThan">
      <formula>0</formula>
    </cfRule>
  </conditionalFormatting>
  <conditionalFormatting sqref="AE32:AH32">
    <cfRule type="dataBar" priority="217">
      <dataBar showValue="0">
        <cfvo type="num" val="0"/>
        <cfvo type="num" val="1"/>
        <color rgb="FF638EC6"/>
      </dataBar>
      <extLst>
        <ext xmlns:x14="http://schemas.microsoft.com/office/spreadsheetml/2009/9/main" uri="{B025F937-C7B1-47D3-B67F-A62EFF666E3E}">
          <x14:id>{153DA8D9-81C0-46E0-A661-7CF20F6130CF}</x14:id>
        </ext>
      </extLst>
    </cfRule>
  </conditionalFormatting>
  <conditionalFormatting sqref="W32">
    <cfRule type="dataBar" priority="216">
      <dataBar showValue="0">
        <cfvo type="num" val="0"/>
        <cfvo type="num" val="1"/>
        <color rgb="FF638EC6"/>
      </dataBar>
      <extLst>
        <ext xmlns:x14="http://schemas.microsoft.com/office/spreadsheetml/2009/9/main" uri="{B025F937-C7B1-47D3-B67F-A62EFF666E3E}">
          <x14:id>{E6C4E764-91DC-4CC8-A30F-E337A7574753}</x14:id>
        </ext>
      </extLst>
    </cfRule>
  </conditionalFormatting>
  <conditionalFormatting sqref="V33">
    <cfRule type="cellIs" dxfId="71" priority="215" operator="lessThan">
      <formula>0</formula>
    </cfRule>
  </conditionalFormatting>
  <conditionalFormatting sqref="AI33">
    <cfRule type="dataBar" priority="214">
      <dataBar showValue="0">
        <cfvo type="num" val="0"/>
        <cfvo type="num" val="1"/>
        <color rgb="FF638EC6"/>
      </dataBar>
      <extLst>
        <ext xmlns:x14="http://schemas.microsoft.com/office/spreadsheetml/2009/9/main" uri="{B025F937-C7B1-47D3-B67F-A62EFF666E3E}">
          <x14:id>{CF1E5A86-724A-4F7F-91F3-0BE725420EB1}</x14:id>
        </ext>
      </extLst>
    </cfRule>
  </conditionalFormatting>
  <conditionalFormatting sqref="L33">
    <cfRule type="iconSet" priority="213">
      <iconSet iconSet="3Flags" reverse="1">
        <cfvo type="percent" val="0"/>
        <cfvo type="num" val="2"/>
        <cfvo type="num" val="3"/>
      </iconSet>
    </cfRule>
  </conditionalFormatting>
  <conditionalFormatting sqref="U33">
    <cfRule type="expression" dxfId="70" priority="212">
      <formula>IF(AND(U33="",$R33&gt;0),1,0)</formula>
    </cfRule>
  </conditionalFormatting>
  <conditionalFormatting sqref="AD33">
    <cfRule type="iconSet" priority="211">
      <iconSet>
        <cfvo type="percent" val="0"/>
        <cfvo type="percent" val="33"/>
        <cfvo type="percent" val="67"/>
      </iconSet>
    </cfRule>
  </conditionalFormatting>
  <conditionalFormatting sqref="AJ33:UM33">
    <cfRule type="expression" dxfId="69" priority="206">
      <formula>AJ$9=Red_Bookmark</formula>
    </cfRule>
  </conditionalFormatting>
  <conditionalFormatting sqref="AJ33:UM33">
    <cfRule type="expression" dxfId="68" priority="207" stopIfTrue="1">
      <formula>AND(AJ$9&gt;=$Z33,AJ$9&lt;=$AC33,$AC33&lt;&gt;"",$AB33&gt;0,IF(AND($AB33&lt;=0.5,($AA33-$Z33)=0),0,1))</formula>
    </cfRule>
    <cfRule type="expression" dxfId="67" priority="208" stopIfTrue="1">
      <formula>AND($AA33&lt;&gt;1,$AC33&lt;=AJ$9,$AA33&gt;=AJ$9,AJ$9&lt;Red_Bookmark)</formula>
    </cfRule>
    <cfRule type="expression" dxfId="66" priority="209" stopIfTrue="1">
      <formula>AND(AJ$9&gt;=$AC33,AJ$9&lt;=$AA33,$AC33&lt;&gt;"")</formula>
    </cfRule>
    <cfRule type="expression" dxfId="65" priority="210">
      <formula>IF(AJ$8,0,1)</formula>
    </cfRule>
  </conditionalFormatting>
  <conditionalFormatting sqref="T33">
    <cfRule type="cellIs" dxfId="64" priority="205" operator="lessThan">
      <formula>0</formula>
    </cfRule>
  </conditionalFormatting>
  <conditionalFormatting sqref="AE33:AH33">
    <cfRule type="dataBar" priority="204">
      <dataBar showValue="0">
        <cfvo type="num" val="0"/>
        <cfvo type="num" val="1"/>
        <color rgb="FF638EC6"/>
      </dataBar>
      <extLst>
        <ext xmlns:x14="http://schemas.microsoft.com/office/spreadsheetml/2009/9/main" uri="{B025F937-C7B1-47D3-B67F-A62EFF666E3E}">
          <x14:id>{5207F33E-F649-4E7C-83A0-1D086AEE9729}</x14:id>
        </ext>
      </extLst>
    </cfRule>
  </conditionalFormatting>
  <conditionalFormatting sqref="W33">
    <cfRule type="dataBar" priority="203">
      <dataBar showValue="0">
        <cfvo type="num" val="0"/>
        <cfvo type="num" val="1"/>
        <color rgb="FF638EC6"/>
      </dataBar>
      <extLst>
        <ext xmlns:x14="http://schemas.microsoft.com/office/spreadsheetml/2009/9/main" uri="{B025F937-C7B1-47D3-B67F-A62EFF666E3E}">
          <x14:id>{21D2070D-E47B-4BDD-81BE-2269FD37D4F5}</x14:id>
        </ext>
      </extLst>
    </cfRule>
  </conditionalFormatting>
  <conditionalFormatting sqref="V34">
    <cfRule type="cellIs" dxfId="63" priority="202" operator="lessThan">
      <formula>0</formula>
    </cfRule>
  </conditionalFormatting>
  <conditionalFormatting sqref="AI34">
    <cfRule type="dataBar" priority="201">
      <dataBar showValue="0">
        <cfvo type="num" val="0"/>
        <cfvo type="num" val="1"/>
        <color rgb="FF638EC6"/>
      </dataBar>
      <extLst>
        <ext xmlns:x14="http://schemas.microsoft.com/office/spreadsheetml/2009/9/main" uri="{B025F937-C7B1-47D3-B67F-A62EFF666E3E}">
          <x14:id>{048030C3-9CB9-4224-AB1A-81170CEBC658}</x14:id>
        </ext>
      </extLst>
    </cfRule>
  </conditionalFormatting>
  <conditionalFormatting sqref="L34">
    <cfRule type="iconSet" priority="200">
      <iconSet iconSet="3Flags" reverse="1">
        <cfvo type="percent" val="0"/>
        <cfvo type="num" val="2"/>
        <cfvo type="num" val="3"/>
      </iconSet>
    </cfRule>
  </conditionalFormatting>
  <conditionalFormatting sqref="U34">
    <cfRule type="expression" dxfId="62" priority="199">
      <formula>IF(AND(U34="",$R34&gt;0),1,0)</formula>
    </cfRule>
  </conditionalFormatting>
  <conditionalFormatting sqref="AD34">
    <cfRule type="iconSet" priority="198">
      <iconSet>
        <cfvo type="percent" val="0"/>
        <cfvo type="percent" val="33"/>
        <cfvo type="percent" val="67"/>
      </iconSet>
    </cfRule>
  </conditionalFormatting>
  <conditionalFormatting sqref="AJ34:UM34">
    <cfRule type="expression" dxfId="61" priority="193">
      <formula>AJ$9=Red_Bookmark</formula>
    </cfRule>
  </conditionalFormatting>
  <conditionalFormatting sqref="AJ34:UM34">
    <cfRule type="expression" dxfId="60" priority="194" stopIfTrue="1">
      <formula>AND(AJ$9&gt;=$Z34,AJ$9&lt;=$AC34,$AC34&lt;&gt;"",$AB34&gt;0,IF(AND($AB34&lt;=0.5,($AA34-$Z34)=0),0,1))</formula>
    </cfRule>
    <cfRule type="expression" dxfId="59" priority="195" stopIfTrue="1">
      <formula>AND($AA34&lt;&gt;1,$AC34&lt;=AJ$9,$AA34&gt;=AJ$9,AJ$9&lt;Red_Bookmark)</formula>
    </cfRule>
    <cfRule type="expression" dxfId="58" priority="196" stopIfTrue="1">
      <formula>AND(AJ$9&gt;=$AC34,AJ$9&lt;=$AA34,$AC34&lt;&gt;"")</formula>
    </cfRule>
    <cfRule type="expression" dxfId="57" priority="197">
      <formula>IF(AJ$8,0,1)</formula>
    </cfRule>
  </conditionalFormatting>
  <conditionalFormatting sqref="T34">
    <cfRule type="cellIs" dxfId="56" priority="192" operator="lessThan">
      <formula>0</formula>
    </cfRule>
  </conditionalFormatting>
  <conditionalFormatting sqref="AE34:AH34">
    <cfRule type="dataBar" priority="191">
      <dataBar showValue="0">
        <cfvo type="num" val="0"/>
        <cfvo type="num" val="1"/>
        <color rgb="FF638EC6"/>
      </dataBar>
      <extLst>
        <ext xmlns:x14="http://schemas.microsoft.com/office/spreadsheetml/2009/9/main" uri="{B025F937-C7B1-47D3-B67F-A62EFF666E3E}">
          <x14:id>{B44A7500-7A86-4368-8576-77A89509EF11}</x14:id>
        </ext>
      </extLst>
    </cfRule>
  </conditionalFormatting>
  <conditionalFormatting sqref="W34">
    <cfRule type="dataBar" priority="190">
      <dataBar showValue="0">
        <cfvo type="num" val="0"/>
        <cfvo type="num" val="1"/>
        <color rgb="FF638EC6"/>
      </dataBar>
      <extLst>
        <ext xmlns:x14="http://schemas.microsoft.com/office/spreadsheetml/2009/9/main" uri="{B025F937-C7B1-47D3-B67F-A62EFF666E3E}">
          <x14:id>{EFA0EC49-A620-4467-8AFB-8E1B5B9C6C00}</x14:id>
        </ext>
      </extLst>
    </cfRule>
  </conditionalFormatting>
  <conditionalFormatting sqref="V37">
    <cfRule type="cellIs" dxfId="55" priority="189" operator="lessThan">
      <formula>0</formula>
    </cfRule>
  </conditionalFormatting>
  <conditionalFormatting sqref="AI37">
    <cfRule type="dataBar" priority="188">
      <dataBar showValue="0">
        <cfvo type="num" val="0"/>
        <cfvo type="num" val="1"/>
        <color rgb="FF638EC6"/>
      </dataBar>
      <extLst>
        <ext xmlns:x14="http://schemas.microsoft.com/office/spreadsheetml/2009/9/main" uri="{B025F937-C7B1-47D3-B67F-A62EFF666E3E}">
          <x14:id>{4CCCCF82-179D-4710-91EF-18C1E5136C6C}</x14:id>
        </ext>
      </extLst>
    </cfRule>
  </conditionalFormatting>
  <conditionalFormatting sqref="L37">
    <cfRule type="iconSet" priority="187">
      <iconSet iconSet="3Flags" reverse="1">
        <cfvo type="percent" val="0"/>
        <cfvo type="num" val="2"/>
        <cfvo type="num" val="3"/>
      </iconSet>
    </cfRule>
  </conditionalFormatting>
  <conditionalFormatting sqref="U37">
    <cfRule type="expression" dxfId="54" priority="186">
      <formula>IF(AND(U37="",$R37&gt;0),1,0)</formula>
    </cfRule>
  </conditionalFormatting>
  <conditionalFormatting sqref="AD37">
    <cfRule type="iconSet" priority="185">
      <iconSet>
        <cfvo type="percent" val="0"/>
        <cfvo type="percent" val="33"/>
        <cfvo type="percent" val="67"/>
      </iconSet>
    </cfRule>
  </conditionalFormatting>
  <conditionalFormatting sqref="AJ37:UM37">
    <cfRule type="expression" dxfId="53" priority="180">
      <formula>AJ$9=Red_Bookmark</formula>
    </cfRule>
  </conditionalFormatting>
  <conditionalFormatting sqref="AJ37:UM37">
    <cfRule type="expression" dxfId="52" priority="181" stopIfTrue="1">
      <formula>AND(AJ$9&gt;=$Z37,AJ$9&lt;=$AC37,$AC37&lt;&gt;"",$AB37&gt;0,IF(AND($AB37&lt;=0.5,($AA37-$Z37)=0),0,1))</formula>
    </cfRule>
    <cfRule type="expression" dxfId="51" priority="182" stopIfTrue="1">
      <formula>AND($AA37&lt;&gt;1,$AC37&lt;=AJ$9,$AA37&gt;=AJ$9,AJ$9&lt;Red_Bookmark)</formula>
    </cfRule>
    <cfRule type="expression" dxfId="50" priority="183" stopIfTrue="1">
      <formula>AND(AJ$9&gt;=$AC37,AJ$9&lt;=$AA37,$AC37&lt;&gt;"")</formula>
    </cfRule>
    <cfRule type="expression" dxfId="49" priority="184">
      <formula>IF(AJ$8,0,1)</formula>
    </cfRule>
  </conditionalFormatting>
  <conditionalFormatting sqref="T37">
    <cfRule type="cellIs" dxfId="48" priority="179" operator="lessThan">
      <formula>0</formula>
    </cfRule>
  </conditionalFormatting>
  <conditionalFormatting sqref="AE37:AH37">
    <cfRule type="dataBar" priority="178">
      <dataBar showValue="0">
        <cfvo type="num" val="0"/>
        <cfvo type="num" val="1"/>
        <color rgb="FF638EC6"/>
      </dataBar>
      <extLst>
        <ext xmlns:x14="http://schemas.microsoft.com/office/spreadsheetml/2009/9/main" uri="{B025F937-C7B1-47D3-B67F-A62EFF666E3E}">
          <x14:id>{3D4F5754-0C29-4DA2-9B68-B15F4557731B}</x14:id>
        </ext>
      </extLst>
    </cfRule>
  </conditionalFormatting>
  <conditionalFormatting sqref="W37">
    <cfRule type="dataBar" priority="177">
      <dataBar showValue="0">
        <cfvo type="num" val="0"/>
        <cfvo type="num" val="1"/>
        <color rgb="FF638EC6"/>
      </dataBar>
      <extLst>
        <ext xmlns:x14="http://schemas.microsoft.com/office/spreadsheetml/2009/9/main" uri="{B025F937-C7B1-47D3-B67F-A62EFF666E3E}">
          <x14:id>{3B510D1B-FE1B-46A5-A850-FD826D8A23F7}</x14:id>
        </ext>
      </extLst>
    </cfRule>
  </conditionalFormatting>
  <conditionalFormatting sqref="V38">
    <cfRule type="cellIs" dxfId="47" priority="174" operator="lessThan">
      <formula>0</formula>
    </cfRule>
  </conditionalFormatting>
  <conditionalFormatting sqref="AI38">
    <cfRule type="dataBar" priority="173">
      <dataBar showValue="0">
        <cfvo type="num" val="0"/>
        <cfvo type="num" val="1"/>
        <color rgb="FF638EC6"/>
      </dataBar>
      <extLst>
        <ext xmlns:x14="http://schemas.microsoft.com/office/spreadsheetml/2009/9/main" uri="{B025F937-C7B1-47D3-B67F-A62EFF666E3E}">
          <x14:id>{71F283F1-8111-4760-83D0-1808C8D515FA}</x14:id>
        </ext>
      </extLst>
    </cfRule>
  </conditionalFormatting>
  <conditionalFormatting sqref="U38">
    <cfRule type="expression" dxfId="46" priority="172">
      <formula>IF(AND(U38="",$R38&gt;0),1,0)</formula>
    </cfRule>
  </conditionalFormatting>
  <conditionalFormatting sqref="AJ38:UM38">
    <cfRule type="expression" dxfId="45" priority="167">
      <formula>AJ$9=Red_Bookmark</formula>
    </cfRule>
  </conditionalFormatting>
  <conditionalFormatting sqref="T38">
    <cfRule type="cellIs" dxfId="44" priority="166" operator="lessThan">
      <formula>0</formula>
    </cfRule>
  </conditionalFormatting>
  <conditionalFormatting sqref="AE38:AH38">
    <cfRule type="dataBar" priority="165">
      <dataBar showValue="0">
        <cfvo type="num" val="0"/>
        <cfvo type="num" val="1"/>
        <color rgb="FF638EC6"/>
      </dataBar>
      <extLst>
        <ext xmlns:x14="http://schemas.microsoft.com/office/spreadsheetml/2009/9/main" uri="{B025F937-C7B1-47D3-B67F-A62EFF666E3E}">
          <x14:id>{2BA7CEC1-840C-4E36-98C3-906CD2DDB15A}</x14:id>
        </ext>
      </extLst>
    </cfRule>
  </conditionalFormatting>
  <conditionalFormatting sqref="W38">
    <cfRule type="dataBar" priority="164">
      <dataBar showValue="0">
        <cfvo type="num" val="0"/>
        <cfvo type="num" val="1"/>
        <color rgb="FF638EC6"/>
      </dataBar>
      <extLst>
        <ext xmlns:x14="http://schemas.microsoft.com/office/spreadsheetml/2009/9/main" uri="{B025F937-C7B1-47D3-B67F-A62EFF666E3E}">
          <x14:id>{1760C1A1-91BE-4805-8703-512DD636300C}</x14:id>
        </ext>
      </extLst>
    </cfRule>
  </conditionalFormatting>
  <conditionalFormatting sqref="L38">
    <cfRule type="iconSet" priority="175">
      <iconSet iconSet="3Flags" reverse="1">
        <cfvo type="percent" val="0"/>
        <cfvo type="num" val="2"/>
        <cfvo type="num" val="3"/>
      </iconSet>
    </cfRule>
  </conditionalFormatting>
  <conditionalFormatting sqref="AD38">
    <cfRule type="iconSet" priority="176">
      <iconSet>
        <cfvo type="percent" val="0"/>
        <cfvo type="percent" val="33"/>
        <cfvo type="percent" val="67"/>
      </iconSet>
    </cfRule>
  </conditionalFormatting>
  <conditionalFormatting sqref="V39">
    <cfRule type="cellIs" dxfId="43" priority="161" operator="lessThan">
      <formula>0</formula>
    </cfRule>
  </conditionalFormatting>
  <conditionalFormatting sqref="AI39">
    <cfRule type="dataBar" priority="160">
      <dataBar showValue="0">
        <cfvo type="num" val="0"/>
        <cfvo type="num" val="1"/>
        <color rgb="FF638EC6"/>
      </dataBar>
      <extLst>
        <ext xmlns:x14="http://schemas.microsoft.com/office/spreadsheetml/2009/9/main" uri="{B025F937-C7B1-47D3-B67F-A62EFF666E3E}">
          <x14:id>{918A585E-BE30-4DF7-B0E4-90EB0FFBC4E1}</x14:id>
        </ext>
      </extLst>
    </cfRule>
  </conditionalFormatting>
  <conditionalFormatting sqref="U39">
    <cfRule type="expression" dxfId="42" priority="159">
      <formula>IF(AND(U39="",$R39&gt;0),1,0)</formula>
    </cfRule>
  </conditionalFormatting>
  <conditionalFormatting sqref="AJ39:UM39">
    <cfRule type="expression" dxfId="41" priority="154">
      <formula>AJ$9=Red_Bookmark</formula>
    </cfRule>
  </conditionalFormatting>
  <conditionalFormatting sqref="T39">
    <cfRule type="cellIs" dxfId="40" priority="153" operator="lessThan">
      <formula>0</formula>
    </cfRule>
  </conditionalFormatting>
  <conditionalFormatting sqref="AE39:AH39">
    <cfRule type="dataBar" priority="152">
      <dataBar showValue="0">
        <cfvo type="num" val="0"/>
        <cfvo type="num" val="1"/>
        <color rgb="FF638EC6"/>
      </dataBar>
      <extLst>
        <ext xmlns:x14="http://schemas.microsoft.com/office/spreadsheetml/2009/9/main" uri="{B025F937-C7B1-47D3-B67F-A62EFF666E3E}">
          <x14:id>{38D12412-CBCB-4B5F-AF22-511559D938A4}</x14:id>
        </ext>
      </extLst>
    </cfRule>
  </conditionalFormatting>
  <conditionalFormatting sqref="W39">
    <cfRule type="dataBar" priority="151">
      <dataBar showValue="0">
        <cfvo type="num" val="0"/>
        <cfvo type="num" val="1"/>
        <color rgb="FF638EC6"/>
      </dataBar>
      <extLst>
        <ext xmlns:x14="http://schemas.microsoft.com/office/spreadsheetml/2009/9/main" uri="{B025F937-C7B1-47D3-B67F-A62EFF666E3E}">
          <x14:id>{BE55ABD5-35FE-4140-A6D2-DAD8AFAEAB20}</x14:id>
        </ext>
      </extLst>
    </cfRule>
  </conditionalFormatting>
  <conditionalFormatting sqref="L39">
    <cfRule type="iconSet" priority="162">
      <iconSet iconSet="3Flags" reverse="1">
        <cfvo type="percent" val="0"/>
        <cfvo type="num" val="2"/>
        <cfvo type="num" val="3"/>
      </iconSet>
    </cfRule>
  </conditionalFormatting>
  <conditionalFormatting sqref="AD39">
    <cfRule type="iconSet" priority="163">
      <iconSet>
        <cfvo type="percent" val="0"/>
        <cfvo type="percent" val="33"/>
        <cfvo type="percent" val="67"/>
      </iconSet>
    </cfRule>
  </conditionalFormatting>
  <conditionalFormatting sqref="V44">
    <cfRule type="cellIs" dxfId="39" priority="128" operator="lessThan">
      <formula>0</formula>
    </cfRule>
  </conditionalFormatting>
  <conditionalFormatting sqref="AI44">
    <cfRule type="dataBar" priority="127">
      <dataBar showValue="0">
        <cfvo type="num" val="0"/>
        <cfvo type="num" val="1"/>
        <color rgb="FF638EC6"/>
      </dataBar>
      <extLst>
        <ext xmlns:x14="http://schemas.microsoft.com/office/spreadsheetml/2009/9/main" uri="{B025F937-C7B1-47D3-B67F-A62EFF666E3E}">
          <x14:id>{52575DB3-B07F-41B2-88E4-29F2B9953C1F}</x14:id>
        </ext>
      </extLst>
    </cfRule>
  </conditionalFormatting>
  <conditionalFormatting sqref="U44">
    <cfRule type="expression" dxfId="38" priority="126">
      <formula>IF(AND(U44="",$R44&gt;0),1,0)</formula>
    </cfRule>
  </conditionalFormatting>
  <conditionalFormatting sqref="AJ44:UM44">
    <cfRule type="expression" dxfId="37" priority="121">
      <formula>AJ$9=Red_Bookmark</formula>
    </cfRule>
  </conditionalFormatting>
  <conditionalFormatting sqref="T44">
    <cfRule type="cellIs" dxfId="36" priority="120" operator="lessThan">
      <formula>0</formula>
    </cfRule>
  </conditionalFormatting>
  <conditionalFormatting sqref="AE44:AH44">
    <cfRule type="dataBar" priority="119">
      <dataBar showValue="0">
        <cfvo type="num" val="0"/>
        <cfvo type="num" val="1"/>
        <color rgb="FF638EC6"/>
      </dataBar>
      <extLst>
        <ext xmlns:x14="http://schemas.microsoft.com/office/spreadsheetml/2009/9/main" uri="{B025F937-C7B1-47D3-B67F-A62EFF666E3E}">
          <x14:id>{F30565FB-E65D-4BE8-BBCD-74750178F314}</x14:id>
        </ext>
      </extLst>
    </cfRule>
  </conditionalFormatting>
  <conditionalFormatting sqref="W44">
    <cfRule type="dataBar" priority="118">
      <dataBar showValue="0">
        <cfvo type="num" val="0"/>
        <cfvo type="num" val="1"/>
        <color rgb="FF638EC6"/>
      </dataBar>
      <extLst>
        <ext xmlns:x14="http://schemas.microsoft.com/office/spreadsheetml/2009/9/main" uri="{B025F937-C7B1-47D3-B67F-A62EFF666E3E}">
          <x14:id>{6B9635D2-4D28-40CE-8480-EF2F40753EA3}</x14:id>
        </ext>
      </extLst>
    </cfRule>
  </conditionalFormatting>
  <conditionalFormatting sqref="L44">
    <cfRule type="iconSet" priority="129">
      <iconSet iconSet="3Flags" reverse="1">
        <cfvo type="percent" val="0"/>
        <cfvo type="num" val="2"/>
        <cfvo type="num" val="3"/>
      </iconSet>
    </cfRule>
  </conditionalFormatting>
  <conditionalFormatting sqref="AD44">
    <cfRule type="iconSet" priority="130">
      <iconSet>
        <cfvo type="percent" val="0"/>
        <cfvo type="percent" val="33"/>
        <cfvo type="percent" val="67"/>
      </iconSet>
    </cfRule>
  </conditionalFormatting>
  <conditionalFormatting sqref="V45">
    <cfRule type="cellIs" dxfId="35" priority="115" operator="lessThan">
      <formula>0</formula>
    </cfRule>
  </conditionalFormatting>
  <conditionalFormatting sqref="AI45">
    <cfRule type="dataBar" priority="114">
      <dataBar showValue="0">
        <cfvo type="num" val="0"/>
        <cfvo type="num" val="1"/>
        <color rgb="FF638EC6"/>
      </dataBar>
      <extLst>
        <ext xmlns:x14="http://schemas.microsoft.com/office/spreadsheetml/2009/9/main" uri="{B025F937-C7B1-47D3-B67F-A62EFF666E3E}">
          <x14:id>{E36D04A8-9FD1-4A63-BA28-F7D8FB9F89E8}</x14:id>
        </ext>
      </extLst>
    </cfRule>
  </conditionalFormatting>
  <conditionalFormatting sqref="U45">
    <cfRule type="expression" dxfId="34" priority="113">
      <formula>IF(AND(U45="",$R45&gt;0),1,0)</formula>
    </cfRule>
  </conditionalFormatting>
  <conditionalFormatting sqref="AJ45:UM45">
    <cfRule type="expression" dxfId="33" priority="108">
      <formula>AJ$9=Red_Bookmark</formula>
    </cfRule>
  </conditionalFormatting>
  <conditionalFormatting sqref="T45">
    <cfRule type="cellIs" dxfId="32" priority="107" operator="lessThan">
      <formula>0</formula>
    </cfRule>
  </conditionalFormatting>
  <conditionalFormatting sqref="AE45:AH45">
    <cfRule type="dataBar" priority="106">
      <dataBar showValue="0">
        <cfvo type="num" val="0"/>
        <cfvo type="num" val="1"/>
        <color rgb="FF638EC6"/>
      </dataBar>
      <extLst>
        <ext xmlns:x14="http://schemas.microsoft.com/office/spreadsheetml/2009/9/main" uri="{B025F937-C7B1-47D3-B67F-A62EFF666E3E}">
          <x14:id>{368E55DB-DDF3-45CA-B5DF-90755C354304}</x14:id>
        </ext>
      </extLst>
    </cfRule>
  </conditionalFormatting>
  <conditionalFormatting sqref="W45">
    <cfRule type="dataBar" priority="105">
      <dataBar showValue="0">
        <cfvo type="num" val="0"/>
        <cfvo type="num" val="1"/>
        <color rgb="FF638EC6"/>
      </dataBar>
      <extLst>
        <ext xmlns:x14="http://schemas.microsoft.com/office/spreadsheetml/2009/9/main" uri="{B025F937-C7B1-47D3-B67F-A62EFF666E3E}">
          <x14:id>{6C6AC301-367B-482A-A00E-C9B47B2120BE}</x14:id>
        </ext>
      </extLst>
    </cfRule>
  </conditionalFormatting>
  <conditionalFormatting sqref="L45">
    <cfRule type="iconSet" priority="116">
      <iconSet iconSet="3Flags" reverse="1">
        <cfvo type="percent" val="0"/>
        <cfvo type="num" val="2"/>
        <cfvo type="num" val="3"/>
      </iconSet>
    </cfRule>
  </conditionalFormatting>
  <conditionalFormatting sqref="AD45">
    <cfRule type="iconSet" priority="117">
      <iconSet>
        <cfvo type="percent" val="0"/>
        <cfvo type="percent" val="33"/>
        <cfvo type="percent" val="67"/>
      </iconSet>
    </cfRule>
  </conditionalFormatting>
  <conditionalFormatting sqref="V46">
    <cfRule type="cellIs" dxfId="31" priority="102" operator="lessThan">
      <formula>0</formula>
    </cfRule>
  </conditionalFormatting>
  <conditionalFormatting sqref="AI46">
    <cfRule type="dataBar" priority="101">
      <dataBar showValue="0">
        <cfvo type="num" val="0"/>
        <cfvo type="num" val="1"/>
        <color rgb="FF638EC6"/>
      </dataBar>
      <extLst>
        <ext xmlns:x14="http://schemas.microsoft.com/office/spreadsheetml/2009/9/main" uri="{B025F937-C7B1-47D3-B67F-A62EFF666E3E}">
          <x14:id>{5C4F74DB-D7A4-4089-97C8-6DA91CAA35BA}</x14:id>
        </ext>
      </extLst>
    </cfRule>
  </conditionalFormatting>
  <conditionalFormatting sqref="U46">
    <cfRule type="expression" dxfId="30" priority="100">
      <formula>IF(AND(U46="",$R46&gt;0),1,0)</formula>
    </cfRule>
  </conditionalFormatting>
  <conditionalFormatting sqref="AJ46:UM46">
    <cfRule type="expression" dxfId="29" priority="95">
      <formula>AJ$9=Red_Bookmark</formula>
    </cfRule>
  </conditionalFormatting>
  <conditionalFormatting sqref="T46">
    <cfRule type="cellIs" dxfId="28" priority="94" operator="lessThan">
      <formula>0</formula>
    </cfRule>
  </conditionalFormatting>
  <conditionalFormatting sqref="AE46:AH46">
    <cfRule type="dataBar" priority="93">
      <dataBar showValue="0">
        <cfvo type="num" val="0"/>
        <cfvo type="num" val="1"/>
        <color rgb="FF638EC6"/>
      </dataBar>
      <extLst>
        <ext xmlns:x14="http://schemas.microsoft.com/office/spreadsheetml/2009/9/main" uri="{B025F937-C7B1-47D3-B67F-A62EFF666E3E}">
          <x14:id>{BF8DB66C-89E5-4E2A-BE9E-1FFEDAE90EF3}</x14:id>
        </ext>
      </extLst>
    </cfRule>
  </conditionalFormatting>
  <conditionalFormatting sqref="W46">
    <cfRule type="dataBar" priority="92">
      <dataBar showValue="0">
        <cfvo type="num" val="0"/>
        <cfvo type="num" val="1"/>
        <color rgb="FF638EC6"/>
      </dataBar>
      <extLst>
        <ext xmlns:x14="http://schemas.microsoft.com/office/spreadsheetml/2009/9/main" uri="{B025F937-C7B1-47D3-B67F-A62EFF666E3E}">
          <x14:id>{63D41161-EA43-4F01-8C00-79623D61CCC5}</x14:id>
        </ext>
      </extLst>
    </cfRule>
  </conditionalFormatting>
  <conditionalFormatting sqref="L46">
    <cfRule type="iconSet" priority="103">
      <iconSet iconSet="3Flags" reverse="1">
        <cfvo type="percent" val="0"/>
        <cfvo type="num" val="2"/>
        <cfvo type="num" val="3"/>
      </iconSet>
    </cfRule>
  </conditionalFormatting>
  <conditionalFormatting sqref="AD46">
    <cfRule type="iconSet" priority="104">
      <iconSet>
        <cfvo type="percent" val="0"/>
        <cfvo type="percent" val="33"/>
        <cfvo type="percent" val="67"/>
      </iconSet>
    </cfRule>
  </conditionalFormatting>
  <conditionalFormatting sqref="V47">
    <cfRule type="cellIs" dxfId="27" priority="89" operator="lessThan">
      <formula>0</formula>
    </cfRule>
  </conditionalFormatting>
  <conditionalFormatting sqref="AI47">
    <cfRule type="dataBar" priority="88">
      <dataBar showValue="0">
        <cfvo type="num" val="0"/>
        <cfvo type="num" val="1"/>
        <color rgb="FF638EC6"/>
      </dataBar>
      <extLst>
        <ext xmlns:x14="http://schemas.microsoft.com/office/spreadsheetml/2009/9/main" uri="{B025F937-C7B1-47D3-B67F-A62EFF666E3E}">
          <x14:id>{B5B41EFE-5452-4399-A71E-880311B53E5F}</x14:id>
        </ext>
      </extLst>
    </cfRule>
  </conditionalFormatting>
  <conditionalFormatting sqref="U47">
    <cfRule type="expression" dxfId="26" priority="87">
      <formula>IF(AND(U47="",$R47&gt;0),1,0)</formula>
    </cfRule>
  </conditionalFormatting>
  <conditionalFormatting sqref="AJ47:UM47">
    <cfRule type="expression" dxfId="25" priority="82">
      <formula>AJ$9=Red_Bookmark</formula>
    </cfRule>
  </conditionalFormatting>
  <conditionalFormatting sqref="T47">
    <cfRule type="cellIs" dxfId="24" priority="81" operator="lessThan">
      <formula>0</formula>
    </cfRule>
  </conditionalFormatting>
  <conditionalFormatting sqref="AE47:AH47">
    <cfRule type="dataBar" priority="80">
      <dataBar showValue="0">
        <cfvo type="num" val="0"/>
        <cfvo type="num" val="1"/>
        <color rgb="FF638EC6"/>
      </dataBar>
      <extLst>
        <ext xmlns:x14="http://schemas.microsoft.com/office/spreadsheetml/2009/9/main" uri="{B025F937-C7B1-47D3-B67F-A62EFF666E3E}">
          <x14:id>{505CE788-70DB-4B8C-8A1C-C0FB2BF51FA9}</x14:id>
        </ext>
      </extLst>
    </cfRule>
  </conditionalFormatting>
  <conditionalFormatting sqref="W47">
    <cfRule type="dataBar" priority="79">
      <dataBar showValue="0">
        <cfvo type="num" val="0"/>
        <cfvo type="num" val="1"/>
        <color rgb="FF638EC6"/>
      </dataBar>
      <extLst>
        <ext xmlns:x14="http://schemas.microsoft.com/office/spreadsheetml/2009/9/main" uri="{B025F937-C7B1-47D3-B67F-A62EFF666E3E}">
          <x14:id>{4B4AB9AC-0BBF-4911-9761-12A38C6EDE04}</x14:id>
        </ext>
      </extLst>
    </cfRule>
  </conditionalFormatting>
  <conditionalFormatting sqref="L47">
    <cfRule type="iconSet" priority="90">
      <iconSet iconSet="3Flags" reverse="1">
        <cfvo type="percent" val="0"/>
        <cfvo type="num" val="2"/>
        <cfvo type="num" val="3"/>
      </iconSet>
    </cfRule>
  </conditionalFormatting>
  <conditionalFormatting sqref="AD47">
    <cfRule type="iconSet" priority="91">
      <iconSet>
        <cfvo type="percent" val="0"/>
        <cfvo type="percent" val="33"/>
        <cfvo type="percent" val="67"/>
      </iconSet>
    </cfRule>
  </conditionalFormatting>
  <conditionalFormatting sqref="V48">
    <cfRule type="cellIs" dxfId="23" priority="76" operator="lessThan">
      <formula>0</formula>
    </cfRule>
  </conditionalFormatting>
  <conditionalFormatting sqref="AI48">
    <cfRule type="dataBar" priority="75">
      <dataBar showValue="0">
        <cfvo type="num" val="0"/>
        <cfvo type="num" val="1"/>
        <color rgb="FF638EC6"/>
      </dataBar>
      <extLst>
        <ext xmlns:x14="http://schemas.microsoft.com/office/spreadsheetml/2009/9/main" uri="{B025F937-C7B1-47D3-B67F-A62EFF666E3E}">
          <x14:id>{C72AD951-AF00-4205-A2BB-099616A482FB}</x14:id>
        </ext>
      </extLst>
    </cfRule>
  </conditionalFormatting>
  <conditionalFormatting sqref="U48">
    <cfRule type="expression" dxfId="22" priority="74">
      <formula>IF(AND(U48="",$R48&gt;0),1,0)</formula>
    </cfRule>
  </conditionalFormatting>
  <conditionalFormatting sqref="AJ48:UM48">
    <cfRule type="expression" dxfId="21" priority="69">
      <formula>AJ$9=Red_Bookmark</formula>
    </cfRule>
  </conditionalFormatting>
  <conditionalFormatting sqref="T48">
    <cfRule type="cellIs" dxfId="20" priority="68" operator="lessThan">
      <formula>0</formula>
    </cfRule>
  </conditionalFormatting>
  <conditionalFormatting sqref="AE48:AH48">
    <cfRule type="dataBar" priority="67">
      <dataBar showValue="0">
        <cfvo type="num" val="0"/>
        <cfvo type="num" val="1"/>
        <color rgb="FF638EC6"/>
      </dataBar>
      <extLst>
        <ext xmlns:x14="http://schemas.microsoft.com/office/spreadsheetml/2009/9/main" uri="{B025F937-C7B1-47D3-B67F-A62EFF666E3E}">
          <x14:id>{6EAD0E4C-C10C-44D0-8DEA-E280222690E1}</x14:id>
        </ext>
      </extLst>
    </cfRule>
  </conditionalFormatting>
  <conditionalFormatting sqref="W48">
    <cfRule type="dataBar" priority="66">
      <dataBar showValue="0">
        <cfvo type="num" val="0"/>
        <cfvo type="num" val="1"/>
        <color rgb="FF638EC6"/>
      </dataBar>
      <extLst>
        <ext xmlns:x14="http://schemas.microsoft.com/office/spreadsheetml/2009/9/main" uri="{B025F937-C7B1-47D3-B67F-A62EFF666E3E}">
          <x14:id>{14E4E526-785A-4BB3-B7BE-C128B69EEC21}</x14:id>
        </ext>
      </extLst>
    </cfRule>
  </conditionalFormatting>
  <conditionalFormatting sqref="L48">
    <cfRule type="iconSet" priority="77">
      <iconSet iconSet="3Flags" reverse="1">
        <cfvo type="percent" val="0"/>
        <cfvo type="num" val="2"/>
        <cfvo type="num" val="3"/>
      </iconSet>
    </cfRule>
  </conditionalFormatting>
  <conditionalFormatting sqref="AD48">
    <cfRule type="iconSet" priority="78">
      <iconSet>
        <cfvo type="percent" val="0"/>
        <cfvo type="percent" val="33"/>
        <cfvo type="percent" val="67"/>
      </iconSet>
    </cfRule>
  </conditionalFormatting>
  <conditionalFormatting sqref="V49">
    <cfRule type="cellIs" dxfId="19" priority="63" operator="lessThan">
      <formula>0</formula>
    </cfRule>
  </conditionalFormatting>
  <conditionalFormatting sqref="AI49">
    <cfRule type="dataBar" priority="62">
      <dataBar showValue="0">
        <cfvo type="num" val="0"/>
        <cfvo type="num" val="1"/>
        <color rgb="FF638EC6"/>
      </dataBar>
      <extLst>
        <ext xmlns:x14="http://schemas.microsoft.com/office/spreadsheetml/2009/9/main" uri="{B025F937-C7B1-47D3-B67F-A62EFF666E3E}">
          <x14:id>{810B6DB1-A95E-437C-B0AC-AFAF7F792BAB}</x14:id>
        </ext>
      </extLst>
    </cfRule>
  </conditionalFormatting>
  <conditionalFormatting sqref="U49">
    <cfRule type="expression" dxfId="18" priority="61">
      <formula>IF(AND(U49="",$R49&gt;0),1,0)</formula>
    </cfRule>
  </conditionalFormatting>
  <conditionalFormatting sqref="AJ49:UM49">
    <cfRule type="expression" dxfId="17" priority="56">
      <formula>AJ$9=Red_Bookmark</formula>
    </cfRule>
  </conditionalFormatting>
  <conditionalFormatting sqref="T49">
    <cfRule type="cellIs" dxfId="16" priority="55" operator="lessThan">
      <formula>0</formula>
    </cfRule>
  </conditionalFormatting>
  <conditionalFormatting sqref="AE49:AH49">
    <cfRule type="dataBar" priority="54">
      <dataBar showValue="0">
        <cfvo type="num" val="0"/>
        <cfvo type="num" val="1"/>
        <color rgb="FF638EC6"/>
      </dataBar>
      <extLst>
        <ext xmlns:x14="http://schemas.microsoft.com/office/spreadsheetml/2009/9/main" uri="{B025F937-C7B1-47D3-B67F-A62EFF666E3E}">
          <x14:id>{6D37F85D-1471-4B1B-B597-761B18A60838}</x14:id>
        </ext>
      </extLst>
    </cfRule>
  </conditionalFormatting>
  <conditionalFormatting sqref="W49">
    <cfRule type="dataBar" priority="53">
      <dataBar showValue="0">
        <cfvo type="num" val="0"/>
        <cfvo type="num" val="1"/>
        <color rgb="FF638EC6"/>
      </dataBar>
      <extLst>
        <ext xmlns:x14="http://schemas.microsoft.com/office/spreadsheetml/2009/9/main" uri="{B025F937-C7B1-47D3-B67F-A62EFF666E3E}">
          <x14:id>{3FA845B4-8C59-4831-9B27-83697B71540A}</x14:id>
        </ext>
      </extLst>
    </cfRule>
  </conditionalFormatting>
  <conditionalFormatting sqref="L49">
    <cfRule type="iconSet" priority="64">
      <iconSet iconSet="3Flags" reverse="1">
        <cfvo type="percent" val="0"/>
        <cfvo type="num" val="2"/>
        <cfvo type="num" val="3"/>
      </iconSet>
    </cfRule>
  </conditionalFormatting>
  <conditionalFormatting sqref="AD49">
    <cfRule type="iconSet" priority="65">
      <iconSet>
        <cfvo type="percent" val="0"/>
        <cfvo type="percent" val="33"/>
        <cfvo type="percent" val="67"/>
      </iconSet>
    </cfRule>
  </conditionalFormatting>
  <conditionalFormatting sqref="V50">
    <cfRule type="cellIs" dxfId="15" priority="50" operator="lessThan">
      <formula>0</formula>
    </cfRule>
  </conditionalFormatting>
  <conditionalFormatting sqref="AI50">
    <cfRule type="dataBar" priority="49">
      <dataBar showValue="0">
        <cfvo type="num" val="0"/>
        <cfvo type="num" val="1"/>
        <color rgb="FF638EC6"/>
      </dataBar>
      <extLst>
        <ext xmlns:x14="http://schemas.microsoft.com/office/spreadsheetml/2009/9/main" uri="{B025F937-C7B1-47D3-B67F-A62EFF666E3E}">
          <x14:id>{D67F1521-F973-4C60-83EF-83313AC4F83E}</x14:id>
        </ext>
      </extLst>
    </cfRule>
  </conditionalFormatting>
  <conditionalFormatting sqref="U50">
    <cfRule type="expression" dxfId="14" priority="48">
      <formula>IF(AND(U50="",$R50&gt;0),1,0)</formula>
    </cfRule>
  </conditionalFormatting>
  <conditionalFormatting sqref="AJ50:UM50">
    <cfRule type="expression" dxfId="13" priority="43">
      <formula>AJ$9=Red_Bookmark</formula>
    </cfRule>
  </conditionalFormatting>
  <conditionalFormatting sqref="T50">
    <cfRule type="cellIs" dxfId="12" priority="42" operator="lessThan">
      <formula>0</formula>
    </cfRule>
  </conditionalFormatting>
  <conditionalFormatting sqref="AE50:AH50">
    <cfRule type="dataBar" priority="41">
      <dataBar showValue="0">
        <cfvo type="num" val="0"/>
        <cfvo type="num" val="1"/>
        <color rgb="FF638EC6"/>
      </dataBar>
      <extLst>
        <ext xmlns:x14="http://schemas.microsoft.com/office/spreadsheetml/2009/9/main" uri="{B025F937-C7B1-47D3-B67F-A62EFF666E3E}">
          <x14:id>{9C7B0389-BF40-4169-8105-CAEB46FC68EB}</x14:id>
        </ext>
      </extLst>
    </cfRule>
  </conditionalFormatting>
  <conditionalFormatting sqref="W50">
    <cfRule type="dataBar" priority="40">
      <dataBar showValue="0">
        <cfvo type="num" val="0"/>
        <cfvo type="num" val="1"/>
        <color rgb="FF638EC6"/>
      </dataBar>
      <extLst>
        <ext xmlns:x14="http://schemas.microsoft.com/office/spreadsheetml/2009/9/main" uri="{B025F937-C7B1-47D3-B67F-A62EFF666E3E}">
          <x14:id>{70822538-FAC2-458A-8715-D6DEEB1CE17C}</x14:id>
        </ext>
      </extLst>
    </cfRule>
  </conditionalFormatting>
  <conditionalFormatting sqref="L50">
    <cfRule type="iconSet" priority="51">
      <iconSet iconSet="3Flags" reverse="1">
        <cfvo type="percent" val="0"/>
        <cfvo type="num" val="2"/>
        <cfvo type="num" val="3"/>
      </iconSet>
    </cfRule>
  </conditionalFormatting>
  <conditionalFormatting sqref="AD50">
    <cfRule type="iconSet" priority="52">
      <iconSet>
        <cfvo type="percent" val="0"/>
        <cfvo type="percent" val="33"/>
        <cfvo type="percent" val="67"/>
      </iconSet>
    </cfRule>
  </conditionalFormatting>
  <conditionalFormatting sqref="V51">
    <cfRule type="cellIs" dxfId="11" priority="37" operator="lessThan">
      <formula>0</formula>
    </cfRule>
  </conditionalFormatting>
  <conditionalFormatting sqref="AI51">
    <cfRule type="dataBar" priority="36">
      <dataBar showValue="0">
        <cfvo type="num" val="0"/>
        <cfvo type="num" val="1"/>
        <color rgb="FF638EC6"/>
      </dataBar>
      <extLst>
        <ext xmlns:x14="http://schemas.microsoft.com/office/spreadsheetml/2009/9/main" uri="{B025F937-C7B1-47D3-B67F-A62EFF666E3E}">
          <x14:id>{2F8DC3C0-5D2D-43E7-927A-0C5DCBDA7F38}</x14:id>
        </ext>
      </extLst>
    </cfRule>
  </conditionalFormatting>
  <conditionalFormatting sqref="U51">
    <cfRule type="expression" dxfId="10" priority="35">
      <formula>IF(AND(U51="",$R51&gt;0),1,0)</formula>
    </cfRule>
  </conditionalFormatting>
  <conditionalFormatting sqref="AJ51:UM51">
    <cfRule type="expression" dxfId="9" priority="30">
      <formula>AJ$9=Red_Bookmark</formula>
    </cfRule>
  </conditionalFormatting>
  <conditionalFormatting sqref="T51">
    <cfRule type="cellIs" dxfId="8" priority="29" operator="lessThan">
      <formula>0</formula>
    </cfRule>
  </conditionalFormatting>
  <conditionalFormatting sqref="AE51:AH51">
    <cfRule type="dataBar" priority="28">
      <dataBar showValue="0">
        <cfvo type="num" val="0"/>
        <cfvo type="num" val="1"/>
        <color rgb="FF638EC6"/>
      </dataBar>
      <extLst>
        <ext xmlns:x14="http://schemas.microsoft.com/office/spreadsheetml/2009/9/main" uri="{B025F937-C7B1-47D3-B67F-A62EFF666E3E}">
          <x14:id>{CDBD3B06-6230-4F9F-AE30-91FFB8C4914F}</x14:id>
        </ext>
      </extLst>
    </cfRule>
  </conditionalFormatting>
  <conditionalFormatting sqref="W51">
    <cfRule type="dataBar" priority="27">
      <dataBar showValue="0">
        <cfvo type="num" val="0"/>
        <cfvo type="num" val="1"/>
        <color rgb="FF638EC6"/>
      </dataBar>
      <extLst>
        <ext xmlns:x14="http://schemas.microsoft.com/office/spreadsheetml/2009/9/main" uri="{B025F937-C7B1-47D3-B67F-A62EFF666E3E}">
          <x14:id>{7354AC34-AA0D-459E-9EEE-F0532E726DA4}</x14:id>
        </ext>
      </extLst>
    </cfRule>
  </conditionalFormatting>
  <conditionalFormatting sqref="L51">
    <cfRule type="iconSet" priority="38">
      <iconSet iconSet="3Flags" reverse="1">
        <cfvo type="percent" val="0"/>
        <cfvo type="num" val="2"/>
        <cfvo type="num" val="3"/>
      </iconSet>
    </cfRule>
  </conditionalFormatting>
  <conditionalFormatting sqref="AD51">
    <cfRule type="iconSet" priority="39">
      <iconSet>
        <cfvo type="percent" val="0"/>
        <cfvo type="percent" val="33"/>
        <cfvo type="percent" val="67"/>
      </iconSet>
    </cfRule>
  </conditionalFormatting>
  <conditionalFormatting sqref="L52:L54 L40:L42 L19:L25 L27:L29 L35:L36">
    <cfRule type="iconSet" priority="578">
      <iconSet iconSet="3Flags" reverse="1">
        <cfvo type="percent" val="0"/>
        <cfvo type="num" val="2"/>
        <cfvo type="num" val="3"/>
      </iconSet>
    </cfRule>
  </conditionalFormatting>
  <conditionalFormatting sqref="AD52:AD54 AD40:AD42 AD19:AD25 AD27:AD29 AD35:AD36">
    <cfRule type="iconSet" priority="584">
      <iconSet>
        <cfvo type="percent" val="0"/>
        <cfvo type="percent" val="33"/>
        <cfvo type="percent" val="67"/>
      </iconSet>
    </cfRule>
  </conditionalFormatting>
  <conditionalFormatting sqref="V43">
    <cfRule type="cellIs" dxfId="7" priority="11" operator="lessThan">
      <formula>0</formula>
    </cfRule>
  </conditionalFormatting>
  <conditionalFormatting sqref="AI43">
    <cfRule type="dataBar" priority="10">
      <dataBar showValue="0">
        <cfvo type="num" val="0"/>
        <cfvo type="num" val="1"/>
        <color rgb="FF638EC6"/>
      </dataBar>
      <extLst>
        <ext xmlns:x14="http://schemas.microsoft.com/office/spreadsheetml/2009/9/main" uri="{B025F937-C7B1-47D3-B67F-A62EFF666E3E}">
          <x14:id>{9F352BED-C1D6-4D4E-8CE7-551CDE11BFA9}</x14:id>
        </ext>
      </extLst>
    </cfRule>
  </conditionalFormatting>
  <conditionalFormatting sqref="U43">
    <cfRule type="expression" dxfId="6" priority="9">
      <formula>IF(AND(U43="",$R43&gt;0),1,0)</formula>
    </cfRule>
  </conditionalFormatting>
  <conditionalFormatting sqref="AJ43:UM43">
    <cfRule type="expression" dxfId="5" priority="4">
      <formula>AJ$9=Red_Bookmark</formula>
    </cfRule>
  </conditionalFormatting>
  <conditionalFormatting sqref="AJ43:UM43">
    <cfRule type="expression" dxfId="4" priority="5" stopIfTrue="1">
      <formula>AND(AJ$9&gt;=$Z43,AJ$9&lt;=$AC43,$AC43&lt;&gt;"",$AB43&gt;0,IF(AND($AB43&lt;=0.5,($AA43-$Z43)=0),0,1))</formula>
    </cfRule>
    <cfRule type="expression" dxfId="3" priority="6" stopIfTrue="1">
      <formula>AND($AA43&lt;&gt;1,$AC43&lt;=AJ$9,$AA43&gt;=AJ$9,AJ$9&lt;Red_Bookmark)</formula>
    </cfRule>
    <cfRule type="expression" dxfId="2" priority="7" stopIfTrue="1">
      <formula>AND(AJ$9&gt;=$AC43,AJ$9&lt;=$AA43,$AC43&lt;&gt;"")</formula>
    </cfRule>
    <cfRule type="expression" dxfId="1" priority="8">
      <formula>IF(AJ$8,0,1)</formula>
    </cfRule>
  </conditionalFormatting>
  <conditionalFormatting sqref="T43">
    <cfRule type="cellIs" dxfId="0" priority="3" operator="lessThan">
      <formula>0</formula>
    </cfRule>
  </conditionalFormatting>
  <conditionalFormatting sqref="AE43:AH43">
    <cfRule type="dataBar" priority="2">
      <dataBar showValue="0">
        <cfvo type="num" val="0"/>
        <cfvo type="num" val="1"/>
        <color rgb="FF638EC6"/>
      </dataBar>
      <extLst>
        <ext xmlns:x14="http://schemas.microsoft.com/office/spreadsheetml/2009/9/main" uri="{B025F937-C7B1-47D3-B67F-A62EFF666E3E}">
          <x14:id>{CB0FBDB5-3D1B-4807-A946-9927D9521039}</x14:id>
        </ext>
      </extLst>
    </cfRule>
  </conditionalFormatting>
  <conditionalFormatting sqref="W43">
    <cfRule type="dataBar" priority="1">
      <dataBar showValue="0">
        <cfvo type="num" val="0"/>
        <cfvo type="num" val="1"/>
        <color rgb="FF638EC6"/>
      </dataBar>
      <extLst>
        <ext xmlns:x14="http://schemas.microsoft.com/office/spreadsheetml/2009/9/main" uri="{B025F937-C7B1-47D3-B67F-A62EFF666E3E}">
          <x14:id>{A011751D-8570-47D4-AC1B-B050AE119D65}</x14:id>
        </ext>
      </extLst>
    </cfRule>
  </conditionalFormatting>
  <conditionalFormatting sqref="L43">
    <cfRule type="iconSet" priority="12">
      <iconSet iconSet="3Flags" reverse="1">
        <cfvo type="percent" val="0"/>
        <cfvo type="num" val="2"/>
        <cfvo type="num" val="3"/>
      </iconSet>
    </cfRule>
  </conditionalFormatting>
  <conditionalFormatting sqref="AD43">
    <cfRule type="iconSet" priority="13">
      <iconSet>
        <cfvo type="percent" val="0"/>
        <cfvo type="percent" val="33"/>
        <cfvo type="percent" val="67"/>
      </iconSet>
    </cfRule>
  </conditionalFormatting>
  <dataValidations count="3">
    <dataValidation type="list" allowBlank="1" showInputMessage="1" sqref="P20:P22 P53:P54 P24:P34 P36:P39 P41:P51" xr:uid="{00000000-0002-0000-0000-000000000000}">
      <formula1>$IA$7:$JU$7</formula1>
    </dataValidation>
    <dataValidation type="list" allowBlank="1" showInputMessage="1" sqref="AB20:AB22 AB53:AB54 AB24:AB34 AB36:AB39 AB41:AB51" xr:uid="{00000000-0002-0000-0000-000001000000}">
      <formula1>"0%, 10%, 20%, 30%, 40%, 50%, 60%, 70%, 80%, 90%, 100%"</formula1>
    </dataValidation>
    <dataValidation allowBlank="1" showInputMessage="1" sqref="L19:L22 Q20:R23 Q24:S27 S19:S23 L26 Q28:R34 Q53:R54 Q36:R39 L30:L54 Q41:R51 S28:S54" xr:uid="{00000000-0002-0000-0000-000002000000}"/>
  </dataValidations>
  <pageMargins left="0.08" right="0.08" top="0.08" bottom="0.08" header="0.2" footer="0.2"/>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Check Box 1">
              <controlPr defaultSize="0" print="0" autoFill="0" autoLine="0" autoPict="0" macro="[0]!Option_Budget">
                <anchor>
                  <from>
                    <xdr:col>2</xdr:col>
                    <xdr:colOff>104775</xdr:colOff>
                    <xdr:row>71</xdr:row>
                    <xdr:rowOff>0</xdr:rowOff>
                  </from>
                  <to>
                    <xdr:col>3</xdr:col>
                    <xdr:colOff>180975</xdr:colOff>
                    <xdr:row>72</xdr:row>
                    <xdr:rowOff>85725</xdr:rowOff>
                  </to>
                </anchor>
              </controlPr>
            </control>
          </mc:Choice>
        </mc:AlternateContent>
        <mc:AlternateContent xmlns:mc="http://schemas.openxmlformats.org/markup-compatibility/2006">
          <mc:Choice Requires="x14">
            <control shapeId="144386" r:id="rId5" name="Check Box 2">
              <controlPr defaultSize="0" print="0" autoFill="0" autoLine="0" autoPict="0" macro="[0]!Option_Comments">
                <anchor>
                  <from>
                    <xdr:col>2</xdr:col>
                    <xdr:colOff>104775</xdr:colOff>
                    <xdr:row>72</xdr:row>
                    <xdr:rowOff>114300</xdr:rowOff>
                  </from>
                  <to>
                    <xdr:col>3</xdr:col>
                    <xdr:colOff>180975</xdr:colOff>
                    <xdr:row>74</xdr:row>
                    <xdr:rowOff>38100</xdr:rowOff>
                  </to>
                </anchor>
              </controlPr>
            </control>
          </mc:Choice>
        </mc:AlternateContent>
        <mc:AlternateContent xmlns:mc="http://schemas.openxmlformats.org/markup-compatibility/2006">
          <mc:Choice Requires="x14">
            <control shapeId="144387" r:id="rId6" name="Check Box 3">
              <controlPr defaultSize="0" print="0" autoFill="0" autoLine="0" autoPict="0" macro="[0]!Option_Reminder">
                <anchor>
                  <from>
                    <xdr:col>2</xdr:col>
                    <xdr:colOff>104775</xdr:colOff>
                    <xdr:row>74</xdr:row>
                    <xdr:rowOff>0</xdr:rowOff>
                  </from>
                  <to>
                    <xdr:col>3</xdr:col>
                    <xdr:colOff>180975</xdr:colOff>
                    <xdr:row>75</xdr:row>
                    <xdr:rowOff>114300</xdr:rowOff>
                  </to>
                </anchor>
              </controlPr>
            </control>
          </mc:Choice>
        </mc:AlternateContent>
        <mc:AlternateContent xmlns:mc="http://schemas.openxmlformats.org/markup-compatibility/2006">
          <mc:Choice Requires="x14">
            <control shapeId="144388" r:id="rId7" name="ComboBox4">
              <controlPr defaultSize="0" print="0" autoLine="0" autoPict="0" macro="[0]!Refresh_Gantt">
                <anchor>
                  <from>
                    <xdr:col>2</xdr:col>
                    <xdr:colOff>152400</xdr:colOff>
                    <xdr:row>65</xdr:row>
                    <xdr:rowOff>133350</xdr:rowOff>
                  </from>
                  <to>
                    <xdr:col>5</xdr:col>
                    <xdr:colOff>104775</xdr:colOff>
                    <xdr:row>67</xdr:row>
                    <xdr:rowOff>38100</xdr:rowOff>
                  </to>
                </anchor>
              </controlPr>
            </control>
          </mc:Choice>
        </mc:AlternateContent>
        <mc:AlternateContent xmlns:mc="http://schemas.openxmlformats.org/markup-compatibility/2006">
          <mc:Choice Requires="x14">
            <control shapeId="144389" r:id="rId8" name="ComboBox51">
              <controlPr defaultSize="0" print="0" autoLine="0" autoPict="0" macro="[0]!Refresh_Ribbon_After_Click">
                <anchor>
                  <from>
                    <xdr:col>2</xdr:col>
                    <xdr:colOff>152400</xdr:colOff>
                    <xdr:row>48</xdr:row>
                    <xdr:rowOff>114300</xdr:rowOff>
                  </from>
                  <to>
                    <xdr:col>8</xdr:col>
                    <xdr:colOff>152400</xdr:colOff>
                    <xdr:row>50</xdr:row>
                    <xdr:rowOff>66675</xdr:rowOff>
                  </to>
                </anchor>
              </controlPr>
            </control>
          </mc:Choice>
        </mc:AlternateContent>
        <mc:AlternateContent xmlns:mc="http://schemas.openxmlformats.org/markup-compatibility/2006">
          <mc:Choice Requires="x14">
            <control shapeId="144390" r:id="rId9" name="ComboBox50">
              <controlPr defaultSize="0" print="0" autoLine="0" autoPict="0" macro="[0]!Refresh_Ribbon_After_Click">
                <anchor>
                  <from>
                    <xdr:col>2</xdr:col>
                    <xdr:colOff>152400</xdr:colOff>
                    <xdr:row>44</xdr:row>
                    <xdr:rowOff>104775</xdr:rowOff>
                  </from>
                  <to>
                    <xdr:col>8</xdr:col>
                    <xdr:colOff>152400</xdr:colOff>
                    <xdr:row>46</xdr:row>
                    <xdr:rowOff>66675</xdr:rowOff>
                  </to>
                </anchor>
              </controlPr>
            </control>
          </mc:Choice>
        </mc:AlternateContent>
        <mc:AlternateContent xmlns:mc="http://schemas.openxmlformats.org/markup-compatibility/2006">
          <mc:Choice Requires="x14">
            <control shapeId="144391" r:id="rId10" name="ComboBox5">
              <controlPr defaultSize="0" print="0" autoLine="0" autoPict="0" macro="[0]!Working_Days_Box_Msg">
                <anchor>
                  <from>
                    <xdr:col>2</xdr:col>
                    <xdr:colOff>152400</xdr:colOff>
                    <xdr:row>40</xdr:row>
                    <xdr:rowOff>95250</xdr:rowOff>
                  </from>
                  <to>
                    <xdr:col>8</xdr:col>
                    <xdr:colOff>180975</xdr:colOff>
                    <xdr:row>42</xdr:row>
                    <xdr:rowOff>28575</xdr:rowOff>
                  </to>
                </anchor>
              </controlPr>
            </control>
          </mc:Choice>
        </mc:AlternateContent>
        <mc:AlternateContent xmlns:mc="http://schemas.openxmlformats.org/markup-compatibility/2006">
          <mc:Choice Requires="x14">
            <control shapeId="144392" r:id="rId11" name="StartYear">
              <controlPr defaultSize="0" print="0" autoLine="0" autoPict="0" macro="[0]!Refresh_Gantt">
                <anchor>
                  <from>
                    <xdr:col>6</xdr:col>
                    <xdr:colOff>266700</xdr:colOff>
                    <xdr:row>33</xdr:row>
                    <xdr:rowOff>85725</xdr:rowOff>
                  </from>
                  <to>
                    <xdr:col>8</xdr:col>
                    <xdr:colOff>314325</xdr:colOff>
                    <xdr:row>35</xdr:row>
                    <xdr:rowOff>19050</xdr:rowOff>
                  </to>
                </anchor>
              </controlPr>
            </control>
          </mc:Choice>
        </mc:AlternateContent>
        <mc:AlternateContent xmlns:mc="http://schemas.openxmlformats.org/markup-compatibility/2006">
          <mc:Choice Requires="x14">
            <control shapeId="144393" r:id="rId12" name="StartMonth">
              <controlPr defaultSize="0" print="0" autoLine="0" autoPict="0" macro="[0]!Refresh_Gantt">
                <anchor>
                  <from>
                    <xdr:col>3</xdr:col>
                    <xdr:colOff>66675</xdr:colOff>
                    <xdr:row>33</xdr:row>
                    <xdr:rowOff>85725</xdr:rowOff>
                  </from>
                  <to>
                    <xdr:col>6</xdr:col>
                    <xdr:colOff>180975</xdr:colOff>
                    <xdr:row>35</xdr:row>
                    <xdr:rowOff>19050</xdr:rowOff>
                  </to>
                </anchor>
              </controlPr>
            </control>
          </mc:Choice>
        </mc:AlternateContent>
        <mc:AlternateContent xmlns:mc="http://schemas.openxmlformats.org/markup-compatibility/2006">
          <mc:Choice Requires="x14">
            <control shapeId="144394" r:id="rId13" name="StartDay">
              <controlPr defaultSize="0" print="0" autoLine="0" autoPict="0" macro="[0]!Refresh_Gantt">
                <anchor>
                  <from>
                    <xdr:col>1</xdr:col>
                    <xdr:colOff>85725</xdr:colOff>
                    <xdr:row>33</xdr:row>
                    <xdr:rowOff>85725</xdr:rowOff>
                  </from>
                  <to>
                    <xdr:col>3</xdr:col>
                    <xdr:colOff>0</xdr:colOff>
                    <xdr:row>35</xdr:row>
                    <xdr:rowOff>19050</xdr:rowOff>
                  </to>
                </anchor>
              </controlPr>
            </control>
          </mc:Choice>
        </mc:AlternateContent>
        <mc:AlternateContent xmlns:mc="http://schemas.openxmlformats.org/markup-compatibility/2006">
          <mc:Choice Requires="x14">
            <control shapeId="144395" r:id="rId14" name="ComboBox2">
              <controlPr defaultSize="0" print="0" autoLine="0" autoPict="0" macro="[0]!Refresh_Gantt">
                <anchor>
                  <from>
                    <xdr:col>3</xdr:col>
                    <xdr:colOff>38100</xdr:colOff>
                    <xdr:row>24</xdr:row>
                    <xdr:rowOff>104775</xdr:rowOff>
                  </from>
                  <to>
                    <xdr:col>6</xdr:col>
                    <xdr:colOff>152400</xdr:colOff>
                    <xdr:row>26</xdr:row>
                    <xdr:rowOff>85725</xdr:rowOff>
                  </to>
                </anchor>
              </controlPr>
            </control>
          </mc:Choice>
        </mc:AlternateContent>
        <mc:AlternateContent xmlns:mc="http://schemas.openxmlformats.org/markup-compatibility/2006">
          <mc:Choice Requires="x14">
            <control shapeId="144396" r:id="rId15" name="ComboBox3">
              <controlPr defaultSize="0" print="0" autoLine="0" autoPict="0" macro="[0]!Refresh_Gantt">
                <anchor>
                  <from>
                    <xdr:col>6</xdr:col>
                    <xdr:colOff>247650</xdr:colOff>
                    <xdr:row>24</xdr:row>
                    <xdr:rowOff>104775</xdr:rowOff>
                  </from>
                  <to>
                    <xdr:col>8</xdr:col>
                    <xdr:colOff>304800</xdr:colOff>
                    <xdr:row>26</xdr:row>
                    <xdr:rowOff>85725</xdr:rowOff>
                  </to>
                </anchor>
              </controlPr>
            </control>
          </mc:Choice>
        </mc:AlternateContent>
        <mc:AlternateContent xmlns:mc="http://schemas.openxmlformats.org/markup-compatibility/2006">
          <mc:Choice Requires="x14">
            <control shapeId="144397" r:id="rId16" name="ComboBox1">
              <controlPr defaultSize="0" print="0" autoLine="0" autoPict="0" macro="[0]!Refresh_Gantt">
                <anchor>
                  <from>
                    <xdr:col>1</xdr:col>
                    <xdr:colOff>66675</xdr:colOff>
                    <xdr:row>24</xdr:row>
                    <xdr:rowOff>104775</xdr:rowOff>
                  </from>
                  <to>
                    <xdr:col>3</xdr:col>
                    <xdr:colOff>0</xdr:colOff>
                    <xdr:row>26</xdr:row>
                    <xdr:rowOff>85725</xdr:rowOff>
                  </to>
                </anchor>
              </controlPr>
            </control>
          </mc:Choice>
        </mc:AlternateContent>
        <mc:AlternateContent xmlns:mc="http://schemas.openxmlformats.org/markup-compatibility/2006">
          <mc:Choice Requires="x14">
            <control shapeId="144398" r:id="rId17" name="Drop Down 14">
              <controlPr defaultSize="0" print="0" autoLine="0" autoPict="0" macro="[0]!Style_Box_Msg">
                <anchor>
                  <from>
                    <xdr:col>2</xdr:col>
                    <xdr:colOff>180975</xdr:colOff>
                    <xdr:row>58</xdr:row>
                    <xdr:rowOff>114300</xdr:rowOff>
                  </from>
                  <to>
                    <xdr:col>8</xdr:col>
                    <xdr:colOff>152400</xdr:colOff>
                    <xdr:row>60</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44992B33-C239-499C-95EE-AD480249D4CF}">
            <x14:dataBar minLength="0" maxLength="100" border="1" gradient="0" axisPosition="none">
              <x14:cfvo type="num">
                <xm:f>0</xm:f>
              </x14:cfvo>
              <x14:cfvo type="num">
                <xm:f>1</xm:f>
              </x14:cfvo>
              <x14:borderColor rgb="FF000000"/>
              <x14:negativeFillColor rgb="FFFF0000"/>
            </x14:dataBar>
          </x14:cfRule>
          <xm:sqref>AI19:AI23 LD7 AI25 AI27:AI29 AI35:AI36 W40:W42 AE40:AI42</xm:sqref>
        </x14:conditionalFormatting>
        <x14:conditionalFormatting xmlns:xm="http://schemas.microsoft.com/office/excel/2006/main">
          <x14:cfRule type="dataBar" id="{92D75DFC-45C5-4FFC-A42C-DA72EFDB9D76}">
            <x14:dataBar minLength="0" maxLength="100" border="1" gradient="0" axisPosition="none">
              <x14:cfvo type="num">
                <xm:f>0</xm:f>
              </x14:cfvo>
              <x14:cfvo type="num">
                <xm:f>1</xm:f>
              </x14:cfvo>
              <x14:borderColor rgb="FF000000"/>
              <x14:negativeFillColor rgb="FFFF0000"/>
            </x14:dataBar>
          </x14:cfRule>
          <xm:sqref>AI52:AI54</xm:sqref>
        </x14:conditionalFormatting>
        <x14:conditionalFormatting xmlns:xm="http://schemas.microsoft.com/office/excel/2006/main">
          <x14:cfRule type="dataBar" id="{E55BF426-390C-44B5-8119-33C482439B2F}">
            <x14:dataBar minLength="0" maxLength="100" border="1" gradient="0" axisPosition="none">
              <x14:cfvo type="num">
                <xm:f>0</xm:f>
              </x14:cfvo>
              <x14:cfvo type="num">
                <xm:f>1</xm:f>
              </x14:cfvo>
              <x14:borderColor rgb="FF000000"/>
              <x14:negativeFillColor rgb="FFFF0000"/>
            </x14:dataBar>
          </x14:cfRule>
          <xm:sqref>AI24</xm:sqref>
        </x14:conditionalFormatting>
        <x14:conditionalFormatting xmlns:xm="http://schemas.microsoft.com/office/excel/2006/main">
          <x14:cfRule type="dataBar" id="{D982B2C8-73A0-4D28-81C0-A9A0B80A7442}">
            <x14:dataBar minLength="0" maxLength="100" border="1" gradient="0" axisPosition="none">
              <x14:cfvo type="num">
                <xm:f>0</xm:f>
              </x14:cfvo>
              <x14:cfvo type="num">
                <xm:f>1</xm:f>
              </x14:cfvo>
              <x14:borderColor rgb="FF000000"/>
              <x14:negativeFillColor rgb="FFFF0000"/>
            </x14:dataBar>
          </x14:cfRule>
          <xm:sqref>AE19:AH23 AE25:AH25 AE27:AH29 AE35:AH36</xm:sqref>
        </x14:conditionalFormatting>
        <x14:conditionalFormatting xmlns:xm="http://schemas.microsoft.com/office/excel/2006/main">
          <x14:cfRule type="dataBar" id="{87391E97-79A3-4CE7-846E-183520EB5B00}">
            <x14:dataBar minLength="0" maxLength="100" border="1" gradient="0" axisPosition="none">
              <x14:cfvo type="num">
                <xm:f>0</xm:f>
              </x14:cfvo>
              <x14:cfvo type="num">
                <xm:f>1</xm:f>
              </x14:cfvo>
              <x14:borderColor rgb="FF000000"/>
              <x14:negativeFillColor rgb="FFFF0000"/>
            </x14:dataBar>
          </x14:cfRule>
          <xm:sqref>AE52:AH54</xm:sqref>
        </x14:conditionalFormatting>
        <x14:conditionalFormatting xmlns:xm="http://schemas.microsoft.com/office/excel/2006/main">
          <x14:cfRule type="dataBar" id="{E0ACCAB8-4B41-425B-ADD9-3EEDB19A1AEF}">
            <x14:dataBar minLength="0" maxLength="100" border="1" gradient="0" axisPosition="none">
              <x14:cfvo type="num">
                <xm:f>0</xm:f>
              </x14:cfvo>
              <x14:cfvo type="num">
                <xm:f>1</xm:f>
              </x14:cfvo>
              <x14:borderColor rgb="FF000000"/>
              <x14:negativeFillColor rgb="FFFF0000"/>
            </x14:dataBar>
          </x14:cfRule>
          <xm:sqref>AE24:AH24</xm:sqref>
        </x14:conditionalFormatting>
        <x14:conditionalFormatting xmlns:xm="http://schemas.microsoft.com/office/excel/2006/main">
          <x14:cfRule type="dataBar" id="{EC4EFCDF-B470-4525-BCD6-E109F83FCDD8}">
            <x14:dataBar minLength="0" maxLength="100" border="1" gradient="0" axisPosition="none">
              <x14:cfvo type="num">
                <xm:f>0</xm:f>
              </x14:cfvo>
              <x14:cfvo type="num">
                <xm:f>1</xm:f>
              </x14:cfvo>
              <x14:borderColor rgb="FF000000"/>
              <x14:negativeFillColor rgb="FFFF0000"/>
            </x14:dataBar>
          </x14:cfRule>
          <xm:sqref>W19:W23 W25 W27:W29 W35:W36</xm:sqref>
        </x14:conditionalFormatting>
        <x14:conditionalFormatting xmlns:xm="http://schemas.microsoft.com/office/excel/2006/main">
          <x14:cfRule type="dataBar" id="{D5C9D8B8-92D3-4F90-9553-60277E0F65BF}">
            <x14:dataBar minLength="0" maxLength="100" border="1" gradient="0" axisPosition="none">
              <x14:cfvo type="num">
                <xm:f>0</xm:f>
              </x14:cfvo>
              <x14:cfvo type="num">
                <xm:f>1</xm:f>
              </x14:cfvo>
              <x14:borderColor rgb="FF000000"/>
              <x14:negativeFillColor rgb="FFFF0000"/>
            </x14:dataBar>
          </x14:cfRule>
          <xm:sqref>W52:W54</xm:sqref>
        </x14:conditionalFormatting>
        <x14:conditionalFormatting xmlns:xm="http://schemas.microsoft.com/office/excel/2006/main">
          <x14:cfRule type="dataBar" id="{65EC463A-68FA-409D-8C02-1254480AEA5C}">
            <x14:dataBar minLength="0" maxLength="100" border="1" gradient="0" axisPosition="none">
              <x14:cfvo type="num">
                <xm:f>0</xm:f>
              </x14:cfvo>
              <x14:cfvo type="num">
                <xm:f>1</xm:f>
              </x14:cfvo>
              <x14:borderColor rgb="FF000000"/>
              <x14:negativeFillColor rgb="FFFF0000"/>
            </x14:dataBar>
          </x14:cfRule>
          <xm:sqref>W24</xm:sqref>
        </x14:conditionalFormatting>
        <x14:conditionalFormatting xmlns:xm="http://schemas.microsoft.com/office/excel/2006/main">
          <x14:cfRule type="dataBar" id="{BD9F0F25-B357-4D78-B012-B36AEB97335C}">
            <x14:dataBar minLength="0" maxLength="100" border="1" gradient="0" axisPosition="none">
              <x14:cfvo type="num">
                <xm:f>0</xm:f>
              </x14:cfvo>
              <x14:cfvo type="num">
                <xm:f>1</xm:f>
              </x14:cfvo>
              <x14:borderColor rgb="FF000000"/>
              <x14:negativeFillColor rgb="FFFF0000"/>
            </x14:dataBar>
          </x14:cfRule>
          <xm:sqref>AI26</xm:sqref>
        </x14:conditionalFormatting>
        <x14:conditionalFormatting xmlns:xm="http://schemas.microsoft.com/office/excel/2006/main">
          <x14:cfRule type="dataBar" id="{D6C90490-496F-42D4-9C26-D9D96F5502D3}">
            <x14:dataBar minLength="0" maxLength="100" border="1" gradient="0" axisPosition="none">
              <x14:cfvo type="num">
                <xm:f>0</xm:f>
              </x14:cfvo>
              <x14:cfvo type="num">
                <xm:f>1</xm:f>
              </x14:cfvo>
              <x14:borderColor rgb="FF000000"/>
              <x14:negativeFillColor rgb="FFFF0000"/>
            </x14:dataBar>
          </x14:cfRule>
          <xm:sqref>AE26:AH26</xm:sqref>
        </x14:conditionalFormatting>
        <x14:conditionalFormatting xmlns:xm="http://schemas.microsoft.com/office/excel/2006/main">
          <x14:cfRule type="dataBar" id="{DEA41E0F-23DD-45DB-9122-7578FFD3F583}">
            <x14:dataBar minLength="0" maxLength="100" border="1" gradient="0" axisPosition="none">
              <x14:cfvo type="num">
                <xm:f>0</xm:f>
              </x14:cfvo>
              <x14:cfvo type="num">
                <xm:f>1</xm:f>
              </x14:cfvo>
              <x14:borderColor rgb="FF000000"/>
              <x14:negativeFillColor rgb="FFFF0000"/>
            </x14:dataBar>
          </x14:cfRule>
          <xm:sqref>W26</xm:sqref>
        </x14:conditionalFormatting>
        <x14:conditionalFormatting xmlns:xm="http://schemas.microsoft.com/office/excel/2006/main">
          <x14:cfRule type="dataBar" id="{9CB87466-8D46-4E4A-BE3D-67BA0F41F54A}">
            <x14:dataBar minLength="0" maxLength="100" border="1" gradient="0" axisPosition="none">
              <x14:cfvo type="num">
                <xm:f>0</xm:f>
              </x14:cfvo>
              <x14:cfvo type="num">
                <xm:f>1</xm:f>
              </x14:cfvo>
              <x14:borderColor rgb="FF000000"/>
              <x14:negativeFillColor rgb="FFFF0000"/>
            </x14:dataBar>
          </x14:cfRule>
          <xm:sqref>AI30</xm:sqref>
        </x14:conditionalFormatting>
        <x14:conditionalFormatting xmlns:xm="http://schemas.microsoft.com/office/excel/2006/main">
          <x14:cfRule type="dataBar" id="{3330E347-60F6-46B2-9B16-33B558CA5841}">
            <x14:dataBar minLength="0" maxLength="100" border="1" gradient="0" axisPosition="none">
              <x14:cfvo type="num">
                <xm:f>0</xm:f>
              </x14:cfvo>
              <x14:cfvo type="num">
                <xm:f>1</xm:f>
              </x14:cfvo>
              <x14:borderColor rgb="FF000000"/>
              <x14:negativeFillColor rgb="FFFF0000"/>
            </x14:dataBar>
          </x14:cfRule>
          <xm:sqref>AE30:AH30</xm:sqref>
        </x14:conditionalFormatting>
        <x14:conditionalFormatting xmlns:xm="http://schemas.microsoft.com/office/excel/2006/main">
          <x14:cfRule type="dataBar" id="{4BC4D0CA-3B13-4762-A767-0387D36D2DF3}">
            <x14:dataBar minLength="0" maxLength="100" border="1" gradient="0" axisPosition="none">
              <x14:cfvo type="num">
                <xm:f>0</xm:f>
              </x14:cfvo>
              <x14:cfvo type="num">
                <xm:f>1</xm:f>
              </x14:cfvo>
              <x14:borderColor rgb="FF000000"/>
              <x14:negativeFillColor rgb="FFFF0000"/>
            </x14:dataBar>
          </x14:cfRule>
          <xm:sqref>W30</xm:sqref>
        </x14:conditionalFormatting>
        <x14:conditionalFormatting xmlns:xm="http://schemas.microsoft.com/office/excel/2006/main">
          <x14:cfRule type="dataBar" id="{C3E23B50-D90C-479F-9142-A20C3527E199}">
            <x14:dataBar minLength="0" maxLength="100" border="1" gradient="0" axisPosition="none">
              <x14:cfvo type="num">
                <xm:f>0</xm:f>
              </x14:cfvo>
              <x14:cfvo type="num">
                <xm:f>1</xm:f>
              </x14:cfvo>
              <x14:borderColor rgb="FF000000"/>
              <x14:negativeFillColor rgb="FFFF0000"/>
            </x14:dataBar>
          </x14:cfRule>
          <xm:sqref>AI31</xm:sqref>
        </x14:conditionalFormatting>
        <x14:conditionalFormatting xmlns:xm="http://schemas.microsoft.com/office/excel/2006/main">
          <x14:cfRule type="dataBar" id="{27630BC7-F46E-4A4D-AB2C-0449A572E586}">
            <x14:dataBar minLength="0" maxLength="100" border="1" gradient="0" axisPosition="none">
              <x14:cfvo type="num">
                <xm:f>0</xm:f>
              </x14:cfvo>
              <x14:cfvo type="num">
                <xm:f>1</xm:f>
              </x14:cfvo>
              <x14:borderColor rgb="FF000000"/>
              <x14:negativeFillColor rgb="FFFF0000"/>
            </x14:dataBar>
          </x14:cfRule>
          <xm:sqref>AE31:AH31</xm:sqref>
        </x14:conditionalFormatting>
        <x14:conditionalFormatting xmlns:xm="http://schemas.microsoft.com/office/excel/2006/main">
          <x14:cfRule type="dataBar" id="{0839E841-5772-4CB8-87B1-B80D1018858E}">
            <x14:dataBar minLength="0" maxLength="100" border="1" gradient="0" axisPosition="none">
              <x14:cfvo type="num">
                <xm:f>0</xm:f>
              </x14:cfvo>
              <x14:cfvo type="num">
                <xm:f>1</xm:f>
              </x14:cfvo>
              <x14:borderColor rgb="FF000000"/>
              <x14:negativeFillColor rgb="FFFF0000"/>
            </x14:dataBar>
          </x14:cfRule>
          <xm:sqref>W31</xm:sqref>
        </x14:conditionalFormatting>
        <x14:conditionalFormatting xmlns:xm="http://schemas.microsoft.com/office/excel/2006/main">
          <x14:cfRule type="dataBar" id="{72F65AC7-4BB6-460C-899B-EDE1AFC45C85}">
            <x14:dataBar minLength="0" maxLength="100" border="1" gradient="0" axisPosition="none">
              <x14:cfvo type="num">
                <xm:f>0</xm:f>
              </x14:cfvo>
              <x14:cfvo type="num">
                <xm:f>1</xm:f>
              </x14:cfvo>
              <x14:borderColor rgb="FF000000"/>
              <x14:negativeFillColor rgb="FFFF0000"/>
            </x14:dataBar>
          </x14:cfRule>
          <xm:sqref>AI32</xm:sqref>
        </x14:conditionalFormatting>
        <x14:conditionalFormatting xmlns:xm="http://schemas.microsoft.com/office/excel/2006/main">
          <x14:cfRule type="dataBar" id="{153DA8D9-81C0-46E0-A661-7CF20F6130CF}">
            <x14:dataBar minLength="0" maxLength="100" border="1" gradient="0" axisPosition="none">
              <x14:cfvo type="num">
                <xm:f>0</xm:f>
              </x14:cfvo>
              <x14:cfvo type="num">
                <xm:f>1</xm:f>
              </x14:cfvo>
              <x14:borderColor rgb="FF000000"/>
              <x14:negativeFillColor rgb="FFFF0000"/>
            </x14:dataBar>
          </x14:cfRule>
          <xm:sqref>AE32:AH32</xm:sqref>
        </x14:conditionalFormatting>
        <x14:conditionalFormatting xmlns:xm="http://schemas.microsoft.com/office/excel/2006/main">
          <x14:cfRule type="dataBar" id="{E6C4E764-91DC-4CC8-A30F-E337A7574753}">
            <x14:dataBar minLength="0" maxLength="100" border="1" gradient="0" axisPosition="none">
              <x14:cfvo type="num">
                <xm:f>0</xm:f>
              </x14:cfvo>
              <x14:cfvo type="num">
                <xm:f>1</xm:f>
              </x14:cfvo>
              <x14:borderColor rgb="FF000000"/>
              <x14:negativeFillColor rgb="FFFF0000"/>
            </x14:dataBar>
          </x14:cfRule>
          <xm:sqref>W32</xm:sqref>
        </x14:conditionalFormatting>
        <x14:conditionalFormatting xmlns:xm="http://schemas.microsoft.com/office/excel/2006/main">
          <x14:cfRule type="dataBar" id="{CF1E5A86-724A-4F7F-91F3-0BE725420EB1}">
            <x14:dataBar minLength="0" maxLength="100" border="1" gradient="0" axisPosition="none">
              <x14:cfvo type="num">
                <xm:f>0</xm:f>
              </x14:cfvo>
              <x14:cfvo type="num">
                <xm:f>1</xm:f>
              </x14:cfvo>
              <x14:borderColor rgb="FF000000"/>
              <x14:negativeFillColor rgb="FFFF0000"/>
            </x14:dataBar>
          </x14:cfRule>
          <xm:sqref>AI33</xm:sqref>
        </x14:conditionalFormatting>
        <x14:conditionalFormatting xmlns:xm="http://schemas.microsoft.com/office/excel/2006/main">
          <x14:cfRule type="dataBar" id="{5207F33E-F649-4E7C-83A0-1D086AEE9729}">
            <x14:dataBar minLength="0" maxLength="100" border="1" gradient="0" axisPosition="none">
              <x14:cfvo type="num">
                <xm:f>0</xm:f>
              </x14:cfvo>
              <x14:cfvo type="num">
                <xm:f>1</xm:f>
              </x14:cfvo>
              <x14:borderColor rgb="FF000000"/>
              <x14:negativeFillColor rgb="FFFF0000"/>
            </x14:dataBar>
          </x14:cfRule>
          <xm:sqref>AE33:AH33</xm:sqref>
        </x14:conditionalFormatting>
        <x14:conditionalFormatting xmlns:xm="http://schemas.microsoft.com/office/excel/2006/main">
          <x14:cfRule type="dataBar" id="{21D2070D-E47B-4BDD-81BE-2269FD37D4F5}">
            <x14:dataBar minLength="0" maxLength="100" border="1" gradient="0" axisPosition="none">
              <x14:cfvo type="num">
                <xm:f>0</xm:f>
              </x14:cfvo>
              <x14:cfvo type="num">
                <xm:f>1</xm:f>
              </x14:cfvo>
              <x14:borderColor rgb="FF000000"/>
              <x14:negativeFillColor rgb="FFFF0000"/>
            </x14:dataBar>
          </x14:cfRule>
          <xm:sqref>W33</xm:sqref>
        </x14:conditionalFormatting>
        <x14:conditionalFormatting xmlns:xm="http://schemas.microsoft.com/office/excel/2006/main">
          <x14:cfRule type="dataBar" id="{048030C3-9CB9-4224-AB1A-81170CEBC658}">
            <x14:dataBar minLength="0" maxLength="100" border="1" gradient="0" axisPosition="none">
              <x14:cfvo type="num">
                <xm:f>0</xm:f>
              </x14:cfvo>
              <x14:cfvo type="num">
                <xm:f>1</xm:f>
              </x14:cfvo>
              <x14:borderColor rgb="FF000000"/>
              <x14:negativeFillColor rgb="FFFF0000"/>
            </x14:dataBar>
          </x14:cfRule>
          <xm:sqref>AI34</xm:sqref>
        </x14:conditionalFormatting>
        <x14:conditionalFormatting xmlns:xm="http://schemas.microsoft.com/office/excel/2006/main">
          <x14:cfRule type="dataBar" id="{B44A7500-7A86-4368-8576-77A89509EF11}">
            <x14:dataBar minLength="0" maxLength="100" border="1" gradient="0" axisPosition="none">
              <x14:cfvo type="num">
                <xm:f>0</xm:f>
              </x14:cfvo>
              <x14:cfvo type="num">
                <xm:f>1</xm:f>
              </x14:cfvo>
              <x14:borderColor rgb="FF000000"/>
              <x14:negativeFillColor rgb="FFFF0000"/>
            </x14:dataBar>
          </x14:cfRule>
          <xm:sqref>AE34:AH34</xm:sqref>
        </x14:conditionalFormatting>
        <x14:conditionalFormatting xmlns:xm="http://schemas.microsoft.com/office/excel/2006/main">
          <x14:cfRule type="dataBar" id="{EFA0EC49-A620-4467-8AFB-8E1B5B9C6C00}">
            <x14:dataBar minLength="0" maxLength="100" border="1" gradient="0" axisPosition="none">
              <x14:cfvo type="num">
                <xm:f>0</xm:f>
              </x14:cfvo>
              <x14:cfvo type="num">
                <xm:f>1</xm:f>
              </x14:cfvo>
              <x14:borderColor rgb="FF000000"/>
              <x14:negativeFillColor rgb="FFFF0000"/>
            </x14:dataBar>
          </x14:cfRule>
          <xm:sqref>W34</xm:sqref>
        </x14:conditionalFormatting>
        <x14:conditionalFormatting xmlns:xm="http://schemas.microsoft.com/office/excel/2006/main">
          <x14:cfRule type="dataBar" id="{4CCCCF82-179D-4710-91EF-18C1E5136C6C}">
            <x14:dataBar minLength="0" maxLength="100" border="1" gradient="0" axisPosition="none">
              <x14:cfvo type="num">
                <xm:f>0</xm:f>
              </x14:cfvo>
              <x14:cfvo type="num">
                <xm:f>1</xm:f>
              </x14:cfvo>
              <x14:borderColor rgb="FF000000"/>
              <x14:negativeFillColor rgb="FFFF0000"/>
            </x14:dataBar>
          </x14:cfRule>
          <xm:sqref>AI37</xm:sqref>
        </x14:conditionalFormatting>
        <x14:conditionalFormatting xmlns:xm="http://schemas.microsoft.com/office/excel/2006/main">
          <x14:cfRule type="dataBar" id="{3D4F5754-0C29-4DA2-9B68-B15F4557731B}">
            <x14:dataBar minLength="0" maxLength="100" border="1" gradient="0" axisPosition="none">
              <x14:cfvo type="num">
                <xm:f>0</xm:f>
              </x14:cfvo>
              <x14:cfvo type="num">
                <xm:f>1</xm:f>
              </x14:cfvo>
              <x14:borderColor rgb="FF000000"/>
              <x14:negativeFillColor rgb="FFFF0000"/>
            </x14:dataBar>
          </x14:cfRule>
          <xm:sqref>AE37:AH37</xm:sqref>
        </x14:conditionalFormatting>
        <x14:conditionalFormatting xmlns:xm="http://schemas.microsoft.com/office/excel/2006/main">
          <x14:cfRule type="dataBar" id="{3B510D1B-FE1B-46A5-A850-FD826D8A23F7}">
            <x14:dataBar minLength="0" maxLength="100" border="1" gradient="0" axisPosition="none">
              <x14:cfvo type="num">
                <xm:f>0</xm:f>
              </x14:cfvo>
              <x14:cfvo type="num">
                <xm:f>1</xm:f>
              </x14:cfvo>
              <x14:borderColor rgb="FF000000"/>
              <x14:negativeFillColor rgb="FFFF0000"/>
            </x14:dataBar>
          </x14:cfRule>
          <xm:sqref>W37</xm:sqref>
        </x14:conditionalFormatting>
        <x14:conditionalFormatting xmlns:xm="http://schemas.microsoft.com/office/excel/2006/main">
          <x14:cfRule type="dataBar" id="{71F283F1-8111-4760-83D0-1808C8D515FA}">
            <x14:dataBar minLength="0" maxLength="100" border="1" gradient="0" axisPosition="none">
              <x14:cfvo type="num">
                <xm:f>0</xm:f>
              </x14:cfvo>
              <x14:cfvo type="num">
                <xm:f>1</xm:f>
              </x14:cfvo>
              <x14:borderColor rgb="FF000000"/>
              <x14:negativeFillColor rgb="FFFF0000"/>
            </x14:dataBar>
          </x14:cfRule>
          <xm:sqref>AI38</xm:sqref>
        </x14:conditionalFormatting>
        <x14:conditionalFormatting xmlns:xm="http://schemas.microsoft.com/office/excel/2006/main">
          <x14:cfRule type="dataBar" id="{2BA7CEC1-840C-4E36-98C3-906CD2DDB15A}">
            <x14:dataBar minLength="0" maxLength="100" border="1" gradient="0" axisPosition="none">
              <x14:cfvo type="num">
                <xm:f>0</xm:f>
              </x14:cfvo>
              <x14:cfvo type="num">
                <xm:f>1</xm:f>
              </x14:cfvo>
              <x14:borderColor rgb="FF000000"/>
              <x14:negativeFillColor rgb="FFFF0000"/>
            </x14:dataBar>
          </x14:cfRule>
          <xm:sqref>AE38:AH38</xm:sqref>
        </x14:conditionalFormatting>
        <x14:conditionalFormatting xmlns:xm="http://schemas.microsoft.com/office/excel/2006/main">
          <x14:cfRule type="dataBar" id="{1760C1A1-91BE-4805-8703-512DD636300C}">
            <x14:dataBar minLength="0" maxLength="100" border="1" gradient="0" axisPosition="none">
              <x14:cfvo type="num">
                <xm:f>0</xm:f>
              </x14:cfvo>
              <x14:cfvo type="num">
                <xm:f>1</xm:f>
              </x14:cfvo>
              <x14:borderColor rgb="FF000000"/>
              <x14:negativeFillColor rgb="FFFF0000"/>
            </x14:dataBar>
          </x14:cfRule>
          <xm:sqref>W38</xm:sqref>
        </x14:conditionalFormatting>
        <x14:conditionalFormatting xmlns:xm="http://schemas.microsoft.com/office/excel/2006/main">
          <x14:cfRule type="dataBar" id="{918A585E-BE30-4DF7-B0E4-90EB0FFBC4E1}">
            <x14:dataBar minLength="0" maxLength="100" border="1" gradient="0" axisPosition="none">
              <x14:cfvo type="num">
                <xm:f>0</xm:f>
              </x14:cfvo>
              <x14:cfvo type="num">
                <xm:f>1</xm:f>
              </x14:cfvo>
              <x14:borderColor rgb="FF000000"/>
              <x14:negativeFillColor rgb="FFFF0000"/>
            </x14:dataBar>
          </x14:cfRule>
          <xm:sqref>AI39</xm:sqref>
        </x14:conditionalFormatting>
        <x14:conditionalFormatting xmlns:xm="http://schemas.microsoft.com/office/excel/2006/main">
          <x14:cfRule type="dataBar" id="{38D12412-CBCB-4B5F-AF22-511559D938A4}">
            <x14:dataBar minLength="0" maxLength="100" border="1" gradient="0" axisPosition="none">
              <x14:cfvo type="num">
                <xm:f>0</xm:f>
              </x14:cfvo>
              <x14:cfvo type="num">
                <xm:f>1</xm:f>
              </x14:cfvo>
              <x14:borderColor rgb="FF000000"/>
              <x14:negativeFillColor rgb="FFFF0000"/>
            </x14:dataBar>
          </x14:cfRule>
          <xm:sqref>AE39:AH39</xm:sqref>
        </x14:conditionalFormatting>
        <x14:conditionalFormatting xmlns:xm="http://schemas.microsoft.com/office/excel/2006/main">
          <x14:cfRule type="dataBar" id="{BE55ABD5-35FE-4140-A6D2-DAD8AFAEAB20}">
            <x14:dataBar minLength="0" maxLength="100" border="1" gradient="0" axisPosition="none">
              <x14:cfvo type="num">
                <xm:f>0</xm:f>
              </x14:cfvo>
              <x14:cfvo type="num">
                <xm:f>1</xm:f>
              </x14:cfvo>
              <x14:borderColor rgb="FF000000"/>
              <x14:negativeFillColor rgb="FFFF0000"/>
            </x14:dataBar>
          </x14:cfRule>
          <xm:sqref>W39</xm:sqref>
        </x14:conditionalFormatting>
        <x14:conditionalFormatting xmlns:xm="http://schemas.microsoft.com/office/excel/2006/main">
          <x14:cfRule type="dataBar" id="{52575DB3-B07F-41B2-88E4-29F2B9953C1F}">
            <x14:dataBar minLength="0" maxLength="100" border="1" gradient="0" axisPosition="none">
              <x14:cfvo type="num">
                <xm:f>0</xm:f>
              </x14:cfvo>
              <x14:cfvo type="num">
                <xm:f>1</xm:f>
              </x14:cfvo>
              <x14:borderColor rgb="FF000000"/>
              <x14:negativeFillColor rgb="FFFF0000"/>
            </x14:dataBar>
          </x14:cfRule>
          <xm:sqref>AI44</xm:sqref>
        </x14:conditionalFormatting>
        <x14:conditionalFormatting xmlns:xm="http://schemas.microsoft.com/office/excel/2006/main">
          <x14:cfRule type="dataBar" id="{F30565FB-E65D-4BE8-BBCD-74750178F314}">
            <x14:dataBar minLength="0" maxLength="100" border="1" gradient="0" axisPosition="none">
              <x14:cfvo type="num">
                <xm:f>0</xm:f>
              </x14:cfvo>
              <x14:cfvo type="num">
                <xm:f>1</xm:f>
              </x14:cfvo>
              <x14:borderColor rgb="FF000000"/>
              <x14:negativeFillColor rgb="FFFF0000"/>
            </x14:dataBar>
          </x14:cfRule>
          <xm:sqref>AE44:AH44</xm:sqref>
        </x14:conditionalFormatting>
        <x14:conditionalFormatting xmlns:xm="http://schemas.microsoft.com/office/excel/2006/main">
          <x14:cfRule type="dataBar" id="{6B9635D2-4D28-40CE-8480-EF2F40753EA3}">
            <x14:dataBar minLength="0" maxLength="100" border="1" gradient="0" axisPosition="none">
              <x14:cfvo type="num">
                <xm:f>0</xm:f>
              </x14:cfvo>
              <x14:cfvo type="num">
                <xm:f>1</xm:f>
              </x14:cfvo>
              <x14:borderColor rgb="FF000000"/>
              <x14:negativeFillColor rgb="FFFF0000"/>
            </x14:dataBar>
          </x14:cfRule>
          <xm:sqref>W44</xm:sqref>
        </x14:conditionalFormatting>
        <x14:conditionalFormatting xmlns:xm="http://schemas.microsoft.com/office/excel/2006/main">
          <x14:cfRule type="dataBar" id="{E36D04A8-9FD1-4A63-BA28-F7D8FB9F89E8}">
            <x14:dataBar minLength="0" maxLength="100" border="1" gradient="0" axisPosition="none">
              <x14:cfvo type="num">
                <xm:f>0</xm:f>
              </x14:cfvo>
              <x14:cfvo type="num">
                <xm:f>1</xm:f>
              </x14:cfvo>
              <x14:borderColor rgb="FF000000"/>
              <x14:negativeFillColor rgb="FFFF0000"/>
            </x14:dataBar>
          </x14:cfRule>
          <xm:sqref>AI45</xm:sqref>
        </x14:conditionalFormatting>
        <x14:conditionalFormatting xmlns:xm="http://schemas.microsoft.com/office/excel/2006/main">
          <x14:cfRule type="dataBar" id="{368E55DB-DDF3-45CA-B5DF-90755C354304}">
            <x14:dataBar minLength="0" maxLength="100" border="1" gradient="0" axisPosition="none">
              <x14:cfvo type="num">
                <xm:f>0</xm:f>
              </x14:cfvo>
              <x14:cfvo type="num">
                <xm:f>1</xm:f>
              </x14:cfvo>
              <x14:borderColor rgb="FF000000"/>
              <x14:negativeFillColor rgb="FFFF0000"/>
            </x14:dataBar>
          </x14:cfRule>
          <xm:sqref>AE45:AH45</xm:sqref>
        </x14:conditionalFormatting>
        <x14:conditionalFormatting xmlns:xm="http://schemas.microsoft.com/office/excel/2006/main">
          <x14:cfRule type="dataBar" id="{6C6AC301-367B-482A-A00E-C9B47B2120BE}">
            <x14:dataBar minLength="0" maxLength="100" border="1" gradient="0" axisPosition="none">
              <x14:cfvo type="num">
                <xm:f>0</xm:f>
              </x14:cfvo>
              <x14:cfvo type="num">
                <xm:f>1</xm:f>
              </x14:cfvo>
              <x14:borderColor rgb="FF000000"/>
              <x14:negativeFillColor rgb="FFFF0000"/>
            </x14:dataBar>
          </x14:cfRule>
          <xm:sqref>W45</xm:sqref>
        </x14:conditionalFormatting>
        <x14:conditionalFormatting xmlns:xm="http://schemas.microsoft.com/office/excel/2006/main">
          <x14:cfRule type="dataBar" id="{5C4F74DB-D7A4-4089-97C8-6DA91CAA35BA}">
            <x14:dataBar minLength="0" maxLength="100" border="1" gradient="0" axisPosition="none">
              <x14:cfvo type="num">
                <xm:f>0</xm:f>
              </x14:cfvo>
              <x14:cfvo type="num">
                <xm:f>1</xm:f>
              </x14:cfvo>
              <x14:borderColor rgb="FF000000"/>
              <x14:negativeFillColor rgb="FFFF0000"/>
            </x14:dataBar>
          </x14:cfRule>
          <xm:sqref>AI46</xm:sqref>
        </x14:conditionalFormatting>
        <x14:conditionalFormatting xmlns:xm="http://schemas.microsoft.com/office/excel/2006/main">
          <x14:cfRule type="dataBar" id="{BF8DB66C-89E5-4E2A-BE9E-1FFEDAE90EF3}">
            <x14:dataBar minLength="0" maxLength="100" border="1" gradient="0" axisPosition="none">
              <x14:cfvo type="num">
                <xm:f>0</xm:f>
              </x14:cfvo>
              <x14:cfvo type="num">
                <xm:f>1</xm:f>
              </x14:cfvo>
              <x14:borderColor rgb="FF000000"/>
              <x14:negativeFillColor rgb="FFFF0000"/>
            </x14:dataBar>
          </x14:cfRule>
          <xm:sqref>AE46:AH46</xm:sqref>
        </x14:conditionalFormatting>
        <x14:conditionalFormatting xmlns:xm="http://schemas.microsoft.com/office/excel/2006/main">
          <x14:cfRule type="dataBar" id="{63D41161-EA43-4F01-8C00-79623D61CCC5}">
            <x14:dataBar minLength="0" maxLength="100" border="1" gradient="0" axisPosition="none">
              <x14:cfvo type="num">
                <xm:f>0</xm:f>
              </x14:cfvo>
              <x14:cfvo type="num">
                <xm:f>1</xm:f>
              </x14:cfvo>
              <x14:borderColor rgb="FF000000"/>
              <x14:negativeFillColor rgb="FFFF0000"/>
            </x14:dataBar>
          </x14:cfRule>
          <xm:sqref>W46</xm:sqref>
        </x14:conditionalFormatting>
        <x14:conditionalFormatting xmlns:xm="http://schemas.microsoft.com/office/excel/2006/main">
          <x14:cfRule type="dataBar" id="{B5B41EFE-5452-4399-A71E-880311B53E5F}">
            <x14:dataBar minLength="0" maxLength="100" border="1" gradient="0" axisPosition="none">
              <x14:cfvo type="num">
                <xm:f>0</xm:f>
              </x14:cfvo>
              <x14:cfvo type="num">
                <xm:f>1</xm:f>
              </x14:cfvo>
              <x14:borderColor rgb="FF000000"/>
              <x14:negativeFillColor rgb="FFFF0000"/>
            </x14:dataBar>
          </x14:cfRule>
          <xm:sqref>AI47</xm:sqref>
        </x14:conditionalFormatting>
        <x14:conditionalFormatting xmlns:xm="http://schemas.microsoft.com/office/excel/2006/main">
          <x14:cfRule type="dataBar" id="{505CE788-70DB-4B8C-8A1C-C0FB2BF51FA9}">
            <x14:dataBar minLength="0" maxLength="100" border="1" gradient="0" axisPosition="none">
              <x14:cfvo type="num">
                <xm:f>0</xm:f>
              </x14:cfvo>
              <x14:cfvo type="num">
                <xm:f>1</xm:f>
              </x14:cfvo>
              <x14:borderColor rgb="FF000000"/>
              <x14:negativeFillColor rgb="FFFF0000"/>
            </x14:dataBar>
          </x14:cfRule>
          <xm:sqref>AE47:AH47</xm:sqref>
        </x14:conditionalFormatting>
        <x14:conditionalFormatting xmlns:xm="http://schemas.microsoft.com/office/excel/2006/main">
          <x14:cfRule type="dataBar" id="{4B4AB9AC-0BBF-4911-9761-12A38C6EDE04}">
            <x14:dataBar minLength="0" maxLength="100" border="1" gradient="0" axisPosition="none">
              <x14:cfvo type="num">
                <xm:f>0</xm:f>
              </x14:cfvo>
              <x14:cfvo type="num">
                <xm:f>1</xm:f>
              </x14:cfvo>
              <x14:borderColor rgb="FF000000"/>
              <x14:negativeFillColor rgb="FFFF0000"/>
            </x14:dataBar>
          </x14:cfRule>
          <xm:sqref>W47</xm:sqref>
        </x14:conditionalFormatting>
        <x14:conditionalFormatting xmlns:xm="http://schemas.microsoft.com/office/excel/2006/main">
          <x14:cfRule type="dataBar" id="{C72AD951-AF00-4205-A2BB-099616A482FB}">
            <x14:dataBar minLength="0" maxLength="100" border="1" gradient="0" axisPosition="none">
              <x14:cfvo type="num">
                <xm:f>0</xm:f>
              </x14:cfvo>
              <x14:cfvo type="num">
                <xm:f>1</xm:f>
              </x14:cfvo>
              <x14:borderColor rgb="FF000000"/>
              <x14:negativeFillColor rgb="FFFF0000"/>
            </x14:dataBar>
          </x14:cfRule>
          <xm:sqref>AI48</xm:sqref>
        </x14:conditionalFormatting>
        <x14:conditionalFormatting xmlns:xm="http://schemas.microsoft.com/office/excel/2006/main">
          <x14:cfRule type="dataBar" id="{6EAD0E4C-C10C-44D0-8DEA-E280222690E1}">
            <x14:dataBar minLength="0" maxLength="100" border="1" gradient="0" axisPosition="none">
              <x14:cfvo type="num">
                <xm:f>0</xm:f>
              </x14:cfvo>
              <x14:cfvo type="num">
                <xm:f>1</xm:f>
              </x14:cfvo>
              <x14:borderColor rgb="FF000000"/>
              <x14:negativeFillColor rgb="FFFF0000"/>
            </x14:dataBar>
          </x14:cfRule>
          <xm:sqref>AE48:AH48</xm:sqref>
        </x14:conditionalFormatting>
        <x14:conditionalFormatting xmlns:xm="http://schemas.microsoft.com/office/excel/2006/main">
          <x14:cfRule type="dataBar" id="{14E4E526-785A-4BB3-B7BE-C128B69EEC21}">
            <x14:dataBar minLength="0" maxLength="100" border="1" gradient="0" axisPosition="none">
              <x14:cfvo type="num">
                <xm:f>0</xm:f>
              </x14:cfvo>
              <x14:cfvo type="num">
                <xm:f>1</xm:f>
              </x14:cfvo>
              <x14:borderColor rgb="FF000000"/>
              <x14:negativeFillColor rgb="FFFF0000"/>
            </x14:dataBar>
          </x14:cfRule>
          <xm:sqref>W48</xm:sqref>
        </x14:conditionalFormatting>
        <x14:conditionalFormatting xmlns:xm="http://schemas.microsoft.com/office/excel/2006/main">
          <x14:cfRule type="dataBar" id="{810B6DB1-A95E-437C-B0AC-AFAF7F792BAB}">
            <x14:dataBar minLength="0" maxLength="100" border="1" gradient="0" axisPosition="none">
              <x14:cfvo type="num">
                <xm:f>0</xm:f>
              </x14:cfvo>
              <x14:cfvo type="num">
                <xm:f>1</xm:f>
              </x14:cfvo>
              <x14:borderColor rgb="FF000000"/>
              <x14:negativeFillColor rgb="FFFF0000"/>
            </x14:dataBar>
          </x14:cfRule>
          <xm:sqref>AI49</xm:sqref>
        </x14:conditionalFormatting>
        <x14:conditionalFormatting xmlns:xm="http://schemas.microsoft.com/office/excel/2006/main">
          <x14:cfRule type="dataBar" id="{6D37F85D-1471-4B1B-B597-761B18A60838}">
            <x14:dataBar minLength="0" maxLength="100" border="1" gradient="0" axisPosition="none">
              <x14:cfvo type="num">
                <xm:f>0</xm:f>
              </x14:cfvo>
              <x14:cfvo type="num">
                <xm:f>1</xm:f>
              </x14:cfvo>
              <x14:borderColor rgb="FF000000"/>
              <x14:negativeFillColor rgb="FFFF0000"/>
            </x14:dataBar>
          </x14:cfRule>
          <xm:sqref>AE49:AH49</xm:sqref>
        </x14:conditionalFormatting>
        <x14:conditionalFormatting xmlns:xm="http://schemas.microsoft.com/office/excel/2006/main">
          <x14:cfRule type="dataBar" id="{3FA845B4-8C59-4831-9B27-83697B71540A}">
            <x14:dataBar minLength="0" maxLength="100" border="1" gradient="0" axisPosition="none">
              <x14:cfvo type="num">
                <xm:f>0</xm:f>
              </x14:cfvo>
              <x14:cfvo type="num">
                <xm:f>1</xm:f>
              </x14:cfvo>
              <x14:borderColor rgb="FF000000"/>
              <x14:negativeFillColor rgb="FFFF0000"/>
            </x14:dataBar>
          </x14:cfRule>
          <xm:sqref>W49</xm:sqref>
        </x14:conditionalFormatting>
        <x14:conditionalFormatting xmlns:xm="http://schemas.microsoft.com/office/excel/2006/main">
          <x14:cfRule type="dataBar" id="{D67F1521-F973-4C60-83EF-83313AC4F83E}">
            <x14:dataBar minLength="0" maxLength="100" border="1" gradient="0" axisPosition="none">
              <x14:cfvo type="num">
                <xm:f>0</xm:f>
              </x14:cfvo>
              <x14:cfvo type="num">
                <xm:f>1</xm:f>
              </x14:cfvo>
              <x14:borderColor rgb="FF000000"/>
              <x14:negativeFillColor rgb="FFFF0000"/>
            </x14:dataBar>
          </x14:cfRule>
          <xm:sqref>AI50</xm:sqref>
        </x14:conditionalFormatting>
        <x14:conditionalFormatting xmlns:xm="http://schemas.microsoft.com/office/excel/2006/main">
          <x14:cfRule type="dataBar" id="{9C7B0389-BF40-4169-8105-CAEB46FC68EB}">
            <x14:dataBar minLength="0" maxLength="100" border="1" gradient="0" axisPosition="none">
              <x14:cfvo type="num">
                <xm:f>0</xm:f>
              </x14:cfvo>
              <x14:cfvo type="num">
                <xm:f>1</xm:f>
              </x14:cfvo>
              <x14:borderColor rgb="FF000000"/>
              <x14:negativeFillColor rgb="FFFF0000"/>
            </x14:dataBar>
          </x14:cfRule>
          <xm:sqref>AE50:AH50</xm:sqref>
        </x14:conditionalFormatting>
        <x14:conditionalFormatting xmlns:xm="http://schemas.microsoft.com/office/excel/2006/main">
          <x14:cfRule type="dataBar" id="{70822538-FAC2-458A-8715-D6DEEB1CE17C}">
            <x14:dataBar minLength="0" maxLength="100" border="1" gradient="0" axisPosition="none">
              <x14:cfvo type="num">
                <xm:f>0</xm:f>
              </x14:cfvo>
              <x14:cfvo type="num">
                <xm:f>1</xm:f>
              </x14:cfvo>
              <x14:borderColor rgb="FF000000"/>
              <x14:negativeFillColor rgb="FFFF0000"/>
            </x14:dataBar>
          </x14:cfRule>
          <xm:sqref>W50</xm:sqref>
        </x14:conditionalFormatting>
        <x14:conditionalFormatting xmlns:xm="http://schemas.microsoft.com/office/excel/2006/main">
          <x14:cfRule type="dataBar" id="{2F8DC3C0-5D2D-43E7-927A-0C5DCBDA7F38}">
            <x14:dataBar minLength="0" maxLength="100" border="1" gradient="0" axisPosition="none">
              <x14:cfvo type="num">
                <xm:f>0</xm:f>
              </x14:cfvo>
              <x14:cfvo type="num">
                <xm:f>1</xm:f>
              </x14:cfvo>
              <x14:borderColor rgb="FF000000"/>
              <x14:negativeFillColor rgb="FFFF0000"/>
            </x14:dataBar>
          </x14:cfRule>
          <xm:sqref>AI51</xm:sqref>
        </x14:conditionalFormatting>
        <x14:conditionalFormatting xmlns:xm="http://schemas.microsoft.com/office/excel/2006/main">
          <x14:cfRule type="dataBar" id="{CDBD3B06-6230-4F9F-AE30-91FFB8C4914F}">
            <x14:dataBar minLength="0" maxLength="100" border="1" gradient="0" axisPosition="none">
              <x14:cfvo type="num">
                <xm:f>0</xm:f>
              </x14:cfvo>
              <x14:cfvo type="num">
                <xm:f>1</xm:f>
              </x14:cfvo>
              <x14:borderColor rgb="FF000000"/>
              <x14:negativeFillColor rgb="FFFF0000"/>
            </x14:dataBar>
          </x14:cfRule>
          <xm:sqref>AE51:AH51</xm:sqref>
        </x14:conditionalFormatting>
        <x14:conditionalFormatting xmlns:xm="http://schemas.microsoft.com/office/excel/2006/main">
          <x14:cfRule type="dataBar" id="{7354AC34-AA0D-459E-9EEE-F0532E726DA4}">
            <x14:dataBar minLength="0" maxLength="100" border="1" gradient="0" axisPosition="none">
              <x14:cfvo type="num">
                <xm:f>0</xm:f>
              </x14:cfvo>
              <x14:cfvo type="num">
                <xm:f>1</xm:f>
              </x14:cfvo>
              <x14:borderColor rgb="FF000000"/>
              <x14:negativeFillColor rgb="FFFF0000"/>
            </x14:dataBar>
          </x14:cfRule>
          <xm:sqref>W51</xm:sqref>
        </x14:conditionalFormatting>
        <x14:conditionalFormatting xmlns:xm="http://schemas.microsoft.com/office/excel/2006/main">
          <x14:cfRule type="dataBar" id="{9F352BED-C1D6-4D4E-8CE7-551CDE11BFA9}">
            <x14:dataBar minLength="0" maxLength="100" border="1" gradient="0" axisPosition="none">
              <x14:cfvo type="num">
                <xm:f>0</xm:f>
              </x14:cfvo>
              <x14:cfvo type="num">
                <xm:f>1</xm:f>
              </x14:cfvo>
              <x14:borderColor rgb="FF000000"/>
              <x14:negativeFillColor rgb="FFFF0000"/>
            </x14:dataBar>
          </x14:cfRule>
          <xm:sqref>AI43</xm:sqref>
        </x14:conditionalFormatting>
        <x14:conditionalFormatting xmlns:xm="http://schemas.microsoft.com/office/excel/2006/main">
          <x14:cfRule type="dataBar" id="{CB0FBDB5-3D1B-4807-A946-9927D9521039}">
            <x14:dataBar minLength="0" maxLength="100" border="1" gradient="0" axisPosition="none">
              <x14:cfvo type="num">
                <xm:f>0</xm:f>
              </x14:cfvo>
              <x14:cfvo type="num">
                <xm:f>1</xm:f>
              </x14:cfvo>
              <x14:borderColor rgb="FF000000"/>
              <x14:negativeFillColor rgb="FFFF0000"/>
            </x14:dataBar>
          </x14:cfRule>
          <xm:sqref>AE43:AH43</xm:sqref>
        </x14:conditionalFormatting>
        <x14:conditionalFormatting xmlns:xm="http://schemas.microsoft.com/office/excel/2006/main">
          <x14:cfRule type="dataBar" id="{A011751D-8570-47D4-AC1B-B050AE119D65}">
            <x14:dataBar minLength="0" maxLength="100" border="1" gradient="0" axisPosition="none">
              <x14:cfvo type="num">
                <xm:f>0</xm:f>
              </x14:cfvo>
              <x14:cfvo type="num">
                <xm:f>1</xm:f>
              </x14:cfvo>
              <x14:borderColor rgb="FF000000"/>
              <x14:negativeFillColor rgb="FFFF0000"/>
            </x14:dataBar>
          </x14:cfRule>
          <xm:sqref>W43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S200"/>
  <sheetViews>
    <sheetView topLeftCell="A8" workbookViewId="0">
      <selection activeCell="H21" sqref="H21"/>
    </sheetView>
  </sheetViews>
  <sheetFormatPr baseColWidth="10" defaultColWidth="9.140625" defaultRowHeight="12.75"/>
  <cols>
    <col min="1" max="1" width="2" style="2" customWidth="1"/>
    <col min="2" max="2" width="47.140625" style="4" customWidth="1"/>
    <col min="3" max="3" width="2.85546875" style="2" customWidth="1"/>
    <col min="4" max="4" width="12.7109375" style="4" customWidth="1"/>
    <col min="5" max="5" width="13.85546875" style="2" bestFit="1" customWidth="1"/>
    <col min="6" max="6" width="12.42578125" style="2" bestFit="1" customWidth="1"/>
    <col min="7" max="7" width="14.42578125" style="2" customWidth="1"/>
    <col min="8" max="8" width="22.42578125" style="2" customWidth="1"/>
    <col min="9" max="9" width="11.140625" style="2" bestFit="1" customWidth="1"/>
    <col min="10" max="10" width="9" style="2" customWidth="1"/>
    <col min="11" max="12" width="9.140625" style="2"/>
    <col min="13" max="13" width="2.42578125" style="2" customWidth="1"/>
    <col min="14" max="16384" width="9.140625" style="2"/>
  </cols>
  <sheetData>
    <row r="1" spans="1:19" hidden="1">
      <c r="A1" s="11"/>
      <c r="B1" s="13"/>
      <c r="C1" s="11"/>
      <c r="D1" s="13"/>
      <c r="E1" s="11"/>
      <c r="F1" s="11"/>
      <c r="G1" s="11"/>
      <c r="H1" s="11"/>
      <c r="I1" s="11"/>
      <c r="J1" s="11"/>
      <c r="K1" s="11"/>
      <c r="L1" s="11"/>
      <c r="M1" s="11"/>
      <c r="N1" s="11"/>
      <c r="O1" s="11"/>
      <c r="P1" s="11"/>
    </row>
    <row r="2" spans="1:19" hidden="1">
      <c r="A2" s="11"/>
      <c r="B2" s="13"/>
      <c r="C2" s="11"/>
      <c r="D2" s="13"/>
      <c r="E2" s="11"/>
      <c r="F2" s="11"/>
      <c r="G2" s="11"/>
      <c r="H2" s="11"/>
      <c r="I2" s="11"/>
      <c r="J2" s="11"/>
      <c r="K2" s="11"/>
      <c r="L2" s="11"/>
      <c r="M2" s="11"/>
      <c r="N2" s="11"/>
      <c r="O2" s="11"/>
      <c r="P2" s="11"/>
    </row>
    <row r="3" spans="1:19" hidden="1">
      <c r="A3" s="11"/>
      <c r="B3" s="13"/>
      <c r="C3" s="11"/>
      <c r="D3" s="13"/>
      <c r="E3" s="11"/>
      <c r="F3" s="11"/>
      <c r="G3" s="11"/>
      <c r="H3" s="11"/>
      <c r="I3" s="11"/>
      <c r="J3" s="11"/>
      <c r="K3" s="11"/>
      <c r="L3" s="11"/>
      <c r="M3" s="11"/>
      <c r="N3" s="11"/>
      <c r="O3" s="11"/>
      <c r="P3" s="11"/>
    </row>
    <row r="4" spans="1:19" hidden="1">
      <c r="A4" s="11"/>
      <c r="B4" s="11"/>
      <c r="C4" s="11"/>
      <c r="D4" s="13"/>
      <c r="E4" s="11"/>
      <c r="F4" s="11"/>
      <c r="G4" s="11"/>
      <c r="H4" s="11"/>
      <c r="I4" s="11"/>
      <c r="J4" s="11"/>
      <c r="K4" s="11"/>
      <c r="L4" s="11"/>
      <c r="M4" s="11"/>
      <c r="N4" s="11"/>
      <c r="O4" s="11"/>
      <c r="P4" s="11"/>
      <c r="Q4" s="11"/>
      <c r="R4" s="11"/>
      <c r="S4" s="11"/>
    </row>
    <row r="5" spans="1:19" hidden="1"/>
    <row r="6" spans="1:19" ht="19.5" hidden="1">
      <c r="B6" s="53"/>
      <c r="C6" s="3"/>
      <c r="M6" s="5"/>
    </row>
    <row r="7" spans="1:19" ht="12.75" hidden="1" customHeight="1">
      <c r="D7" s="52"/>
      <c r="E7" s="52"/>
      <c r="F7" s="52"/>
      <c r="G7" s="52"/>
      <c r="H7" s="52"/>
      <c r="I7" s="52"/>
      <c r="J7" s="52"/>
    </row>
    <row r="8" spans="1:19" ht="12.75" customHeight="1">
      <c r="B8" s="54"/>
      <c r="D8" s="52"/>
      <c r="E8" s="52"/>
      <c r="F8" s="52"/>
      <c r="G8" s="52"/>
      <c r="H8" s="52"/>
      <c r="I8" s="52"/>
      <c r="J8" s="52"/>
    </row>
    <row r="9" spans="1:19" ht="27.75" customHeight="1" thickBot="1">
      <c r="B9" s="56" t="s">
        <v>687</v>
      </c>
      <c r="D9" s="360" t="s">
        <v>1673</v>
      </c>
      <c r="E9" s="360"/>
      <c r="F9" s="360"/>
      <c r="G9" s="360"/>
      <c r="H9" s="360"/>
      <c r="I9" s="360"/>
      <c r="J9" s="360"/>
    </row>
    <row r="10" spans="1:19">
      <c r="B10" s="55">
        <v>44197</v>
      </c>
      <c r="D10" s="315" t="s">
        <v>1674</v>
      </c>
      <c r="E10" s="316" t="s">
        <v>1675</v>
      </c>
      <c r="F10" s="316" t="s">
        <v>1676</v>
      </c>
      <c r="G10" s="316" t="s">
        <v>58</v>
      </c>
      <c r="H10" s="316" t="s">
        <v>85</v>
      </c>
      <c r="I10" s="316" t="s">
        <v>1677</v>
      </c>
      <c r="J10" s="317" t="s">
        <v>729</v>
      </c>
    </row>
    <row r="11" spans="1:19" ht="13.5" customHeight="1">
      <c r="B11" s="19">
        <v>44317</v>
      </c>
      <c r="D11" s="14"/>
      <c r="E11" s="33"/>
      <c r="F11" s="33"/>
      <c r="G11" s="37"/>
      <c r="H11" s="37"/>
      <c r="I11" s="208"/>
      <c r="J11" s="15"/>
    </row>
    <row r="12" spans="1:19" ht="12.75" customHeight="1">
      <c r="B12" s="19">
        <v>44555</v>
      </c>
      <c r="D12" s="16"/>
      <c r="E12" s="34"/>
      <c r="F12" s="34"/>
      <c r="G12" s="38"/>
      <c r="H12" s="38"/>
      <c r="I12" s="209"/>
      <c r="J12" s="17"/>
      <c r="K12" s="51"/>
    </row>
    <row r="13" spans="1:19" ht="12.75" customHeight="1">
      <c r="B13" s="19"/>
      <c r="D13" s="16"/>
      <c r="E13" s="34"/>
      <c r="F13" s="34"/>
      <c r="G13" s="39"/>
      <c r="H13" s="39"/>
      <c r="I13" s="209"/>
      <c r="J13" s="17"/>
    </row>
    <row r="14" spans="1:19">
      <c r="B14" s="19"/>
      <c r="D14" s="16"/>
      <c r="E14" s="34"/>
      <c r="F14" s="34"/>
      <c r="G14" s="39"/>
      <c r="H14" s="39"/>
      <c r="I14" s="210"/>
      <c r="J14" s="18"/>
      <c r="K14" s="12"/>
    </row>
    <row r="15" spans="1:19">
      <c r="B15" s="20"/>
      <c r="D15" s="16"/>
      <c r="E15" s="34"/>
      <c r="F15" s="34"/>
      <c r="G15" s="39"/>
      <c r="H15" s="39"/>
      <c r="I15" s="210"/>
      <c r="J15" s="18"/>
    </row>
    <row r="16" spans="1:19" ht="12.75" customHeight="1">
      <c r="B16" s="20"/>
      <c r="D16" s="16"/>
      <c r="E16" s="34"/>
      <c r="F16" s="34"/>
      <c r="G16" s="39"/>
      <c r="H16" s="39"/>
      <c r="I16" s="210"/>
      <c r="J16" s="18"/>
    </row>
    <row r="17" spans="2:13" ht="12.75" customHeight="1">
      <c r="B17" s="20"/>
      <c r="D17" s="23"/>
      <c r="E17" s="35"/>
      <c r="F17" s="35"/>
      <c r="G17" s="39"/>
      <c r="H17" s="39"/>
      <c r="I17" s="211"/>
      <c r="J17" s="24"/>
      <c r="M17" s="51"/>
    </row>
    <row r="18" spans="2:13" ht="12.75" customHeight="1">
      <c r="B18" s="20"/>
      <c r="D18" s="25"/>
      <c r="E18" s="36"/>
      <c r="F18" s="36"/>
      <c r="G18" s="40"/>
      <c r="H18" s="40"/>
      <c r="I18" s="211"/>
      <c r="J18" s="24"/>
    </row>
    <row r="19" spans="2:13" ht="12.75" customHeight="1">
      <c r="B19" s="20"/>
      <c r="D19" s="26"/>
      <c r="E19" s="27"/>
      <c r="F19" s="27"/>
      <c r="G19" s="28"/>
      <c r="H19" s="28"/>
      <c r="I19" s="211"/>
      <c r="J19" s="24"/>
    </row>
    <row r="20" spans="2:13" ht="12.75" customHeight="1">
      <c r="B20" s="20"/>
      <c r="D20" s="26"/>
      <c r="E20" s="27"/>
      <c r="F20" s="27"/>
      <c r="G20" s="28"/>
      <c r="H20" s="28"/>
      <c r="I20" s="211"/>
      <c r="J20" s="24"/>
    </row>
    <row r="21" spans="2:13" ht="12.75" customHeight="1">
      <c r="B21" s="20"/>
      <c r="D21" s="26"/>
      <c r="E21" s="27"/>
      <c r="F21" s="27"/>
      <c r="G21" s="28"/>
      <c r="H21" s="28"/>
      <c r="I21" s="211"/>
      <c r="J21" s="24"/>
    </row>
    <row r="22" spans="2:13" ht="12.75" customHeight="1">
      <c r="B22" s="20"/>
      <c r="D22" s="26"/>
      <c r="E22" s="27"/>
      <c r="F22" s="27"/>
      <c r="G22" s="28"/>
      <c r="H22" s="28"/>
      <c r="I22" s="211"/>
      <c r="J22" s="24"/>
    </row>
    <row r="23" spans="2:13" ht="13.5" customHeight="1">
      <c r="B23" s="20"/>
      <c r="D23" s="26"/>
      <c r="E23" s="27"/>
      <c r="F23" s="27"/>
      <c r="G23" s="28"/>
      <c r="H23" s="28"/>
      <c r="I23" s="211"/>
      <c r="J23" s="24"/>
    </row>
    <row r="24" spans="2:13">
      <c r="B24" s="20"/>
      <c r="D24" s="26"/>
      <c r="E24" s="27"/>
      <c r="F24" s="27"/>
      <c r="G24" s="28"/>
      <c r="H24" s="28"/>
      <c r="I24" s="211"/>
      <c r="J24" s="24"/>
    </row>
    <row r="25" spans="2:13">
      <c r="B25" s="20"/>
      <c r="D25" s="26"/>
      <c r="E25" s="27"/>
      <c r="F25" s="27"/>
      <c r="G25" s="28"/>
      <c r="H25" s="28"/>
      <c r="I25" s="211"/>
      <c r="J25" s="24"/>
    </row>
    <row r="26" spans="2:13">
      <c r="B26" s="20"/>
      <c r="D26" s="26"/>
      <c r="E26" s="27"/>
      <c r="F26" s="27"/>
      <c r="G26" s="28"/>
      <c r="H26" s="28"/>
      <c r="I26" s="211"/>
      <c r="J26" s="24"/>
    </row>
    <row r="27" spans="2:13">
      <c r="B27" s="20"/>
      <c r="D27" s="26"/>
      <c r="E27" s="27"/>
      <c r="F27" s="27"/>
      <c r="G27" s="28"/>
      <c r="H27" s="28"/>
      <c r="I27" s="211"/>
      <c r="J27" s="24"/>
    </row>
    <row r="28" spans="2:13">
      <c r="B28" s="20"/>
      <c r="D28" s="26"/>
      <c r="E28" s="27"/>
      <c r="F28" s="27"/>
      <c r="G28" s="28"/>
      <c r="H28" s="28"/>
      <c r="I28" s="211"/>
      <c r="J28" s="24"/>
    </row>
    <row r="29" spans="2:13">
      <c r="B29" s="20"/>
      <c r="D29" s="26"/>
      <c r="E29" s="27"/>
      <c r="F29" s="27"/>
      <c r="G29" s="28"/>
      <c r="H29" s="28"/>
      <c r="I29" s="211"/>
      <c r="J29" s="24"/>
    </row>
    <row r="30" spans="2:13">
      <c r="B30" s="20"/>
      <c r="D30" s="26"/>
      <c r="E30" s="27"/>
      <c r="F30" s="27"/>
      <c r="G30" s="28"/>
      <c r="H30" s="28"/>
      <c r="I30" s="211"/>
      <c r="J30" s="24"/>
    </row>
    <row r="31" spans="2:13">
      <c r="B31" s="20"/>
      <c r="D31" s="26"/>
      <c r="E31" s="27"/>
      <c r="F31" s="27"/>
      <c r="G31" s="28"/>
      <c r="H31" s="28"/>
      <c r="I31" s="211"/>
      <c r="J31" s="24"/>
    </row>
    <row r="32" spans="2:13">
      <c r="B32" s="20"/>
      <c r="D32" s="26"/>
      <c r="E32" s="27"/>
      <c r="F32" s="27"/>
      <c r="G32" s="28"/>
      <c r="H32" s="28"/>
      <c r="I32" s="211"/>
      <c r="J32" s="24"/>
    </row>
    <row r="33" spans="2:10">
      <c r="B33" s="20"/>
      <c r="D33" s="26"/>
      <c r="E33" s="27"/>
      <c r="F33" s="27"/>
      <c r="G33" s="28"/>
      <c r="H33" s="28"/>
      <c r="I33" s="211"/>
      <c r="J33" s="24"/>
    </row>
    <row r="34" spans="2:10">
      <c r="B34" s="20"/>
      <c r="D34" s="26"/>
      <c r="E34" s="27"/>
      <c r="F34" s="27"/>
      <c r="G34" s="28"/>
      <c r="H34" s="28"/>
      <c r="I34" s="211"/>
      <c r="J34" s="24"/>
    </row>
    <row r="35" spans="2:10">
      <c r="B35" s="20"/>
      <c r="D35" s="26"/>
      <c r="E35" s="27"/>
      <c r="F35" s="27"/>
      <c r="G35" s="28"/>
      <c r="H35" s="28"/>
      <c r="I35" s="211"/>
      <c r="J35" s="24"/>
    </row>
    <row r="36" spans="2:10">
      <c r="B36" s="20"/>
      <c r="D36" s="26"/>
      <c r="E36" s="27"/>
      <c r="F36" s="27"/>
      <c r="G36" s="28"/>
      <c r="H36" s="28"/>
      <c r="I36" s="211"/>
      <c r="J36" s="24"/>
    </row>
    <row r="37" spans="2:10">
      <c r="B37" s="20"/>
      <c r="D37" s="26"/>
      <c r="E37" s="27"/>
      <c r="F37" s="27"/>
      <c r="G37" s="28"/>
      <c r="H37" s="28"/>
      <c r="I37" s="211"/>
      <c r="J37" s="24"/>
    </row>
    <row r="38" spans="2:10">
      <c r="B38" s="20"/>
      <c r="D38" s="26"/>
      <c r="E38" s="27"/>
      <c r="F38" s="27"/>
      <c r="G38" s="28"/>
      <c r="H38" s="28"/>
      <c r="I38" s="211"/>
      <c r="J38" s="24"/>
    </row>
    <row r="39" spans="2:10">
      <c r="B39" s="20"/>
      <c r="D39" s="26"/>
      <c r="E39" s="27"/>
      <c r="F39" s="27"/>
      <c r="G39" s="28"/>
      <c r="H39" s="28"/>
      <c r="I39" s="211"/>
      <c r="J39" s="24"/>
    </row>
    <row r="40" spans="2:10">
      <c r="B40" s="20"/>
      <c r="D40" s="26"/>
      <c r="E40" s="27"/>
      <c r="F40" s="27"/>
      <c r="G40" s="28"/>
      <c r="H40" s="28"/>
      <c r="I40" s="211"/>
      <c r="J40" s="24"/>
    </row>
    <row r="41" spans="2:10">
      <c r="B41" s="20"/>
      <c r="D41" s="26"/>
      <c r="E41" s="27"/>
      <c r="F41" s="27"/>
      <c r="G41" s="28"/>
      <c r="H41" s="28"/>
      <c r="I41" s="211"/>
      <c r="J41" s="24"/>
    </row>
    <row r="42" spans="2:10">
      <c r="B42" s="20"/>
      <c r="D42" s="26"/>
      <c r="E42" s="27"/>
      <c r="F42" s="27"/>
      <c r="G42" s="28"/>
      <c r="H42" s="28"/>
      <c r="I42" s="211"/>
      <c r="J42" s="24"/>
    </row>
    <row r="43" spans="2:10">
      <c r="B43" s="20"/>
      <c r="D43" s="26"/>
      <c r="E43" s="27"/>
      <c r="F43" s="27"/>
      <c r="G43" s="28"/>
      <c r="H43" s="28"/>
      <c r="I43" s="211"/>
      <c r="J43" s="24"/>
    </row>
    <row r="44" spans="2:10">
      <c r="B44" s="20"/>
      <c r="D44" s="26"/>
      <c r="E44" s="27"/>
      <c r="F44" s="27"/>
      <c r="G44" s="28"/>
      <c r="H44" s="28"/>
      <c r="I44" s="211"/>
      <c r="J44" s="24"/>
    </row>
    <row r="45" spans="2:10">
      <c r="B45" s="20"/>
      <c r="D45" s="26"/>
      <c r="E45" s="27"/>
      <c r="F45" s="27"/>
      <c r="G45" s="28"/>
      <c r="H45" s="28"/>
      <c r="I45" s="211"/>
      <c r="J45" s="24"/>
    </row>
    <row r="46" spans="2:10">
      <c r="B46" s="20"/>
      <c r="D46" s="26"/>
      <c r="E46" s="27"/>
      <c r="F46" s="27"/>
      <c r="G46" s="28"/>
      <c r="H46" s="28"/>
      <c r="I46" s="211"/>
      <c r="J46" s="24"/>
    </row>
    <row r="47" spans="2:10">
      <c r="B47" s="20"/>
      <c r="D47" s="26"/>
      <c r="E47" s="27"/>
      <c r="F47" s="27"/>
      <c r="G47" s="28"/>
      <c r="H47" s="28"/>
      <c r="I47" s="211"/>
      <c r="J47" s="24"/>
    </row>
    <row r="48" spans="2:10">
      <c r="B48" s="20"/>
      <c r="D48" s="26"/>
      <c r="E48" s="27"/>
      <c r="F48" s="27"/>
      <c r="G48" s="28"/>
      <c r="H48" s="28"/>
      <c r="I48" s="211"/>
      <c r="J48" s="24"/>
    </row>
    <row r="49" spans="2:10">
      <c r="B49" s="20"/>
      <c r="D49" s="26"/>
      <c r="E49" s="27"/>
      <c r="F49" s="27"/>
      <c r="G49" s="28"/>
      <c r="H49" s="28"/>
      <c r="I49" s="211"/>
      <c r="J49" s="24"/>
    </row>
    <row r="50" spans="2:10">
      <c r="B50" s="20"/>
      <c r="D50" s="26"/>
      <c r="E50" s="27"/>
      <c r="F50" s="27"/>
      <c r="G50" s="28"/>
      <c r="H50" s="28"/>
      <c r="I50" s="211"/>
      <c r="J50" s="24"/>
    </row>
    <row r="51" spans="2:10">
      <c r="B51" s="20"/>
      <c r="D51" s="26"/>
      <c r="E51" s="27"/>
      <c r="F51" s="27"/>
      <c r="G51" s="28"/>
      <c r="H51" s="28"/>
      <c r="I51" s="211"/>
      <c r="J51" s="24"/>
    </row>
    <row r="52" spans="2:10">
      <c r="B52" s="20"/>
      <c r="D52" s="26"/>
      <c r="E52" s="27"/>
      <c r="F52" s="27"/>
      <c r="G52" s="28"/>
      <c r="H52" s="28"/>
      <c r="I52" s="211"/>
      <c r="J52" s="24"/>
    </row>
    <row r="53" spans="2:10">
      <c r="B53" s="20"/>
      <c r="D53" s="26"/>
      <c r="E53" s="27"/>
      <c r="F53" s="27"/>
      <c r="G53" s="28"/>
      <c r="H53" s="28"/>
      <c r="I53" s="211"/>
      <c r="J53" s="24"/>
    </row>
    <row r="54" spans="2:10">
      <c r="B54" s="20"/>
      <c r="D54" s="26"/>
      <c r="E54" s="27"/>
      <c r="F54" s="27"/>
      <c r="G54" s="28"/>
      <c r="H54" s="28"/>
      <c r="I54" s="211"/>
      <c r="J54" s="24"/>
    </row>
    <row r="55" spans="2:10">
      <c r="B55" s="20"/>
      <c r="D55" s="26"/>
      <c r="E55" s="27"/>
      <c r="F55" s="27"/>
      <c r="G55" s="28"/>
      <c r="H55" s="28"/>
      <c r="I55" s="211"/>
      <c r="J55" s="24"/>
    </row>
    <row r="56" spans="2:10">
      <c r="B56" s="20"/>
      <c r="D56" s="26"/>
      <c r="E56" s="27"/>
      <c r="F56" s="27"/>
      <c r="G56" s="28"/>
      <c r="H56" s="28"/>
      <c r="I56" s="211"/>
      <c r="J56" s="24"/>
    </row>
    <row r="57" spans="2:10">
      <c r="B57" s="20"/>
      <c r="D57" s="29"/>
      <c r="E57" s="30"/>
      <c r="F57" s="30"/>
      <c r="G57" s="31"/>
      <c r="H57" s="31"/>
      <c r="I57" s="212"/>
      <c r="J57" s="32"/>
    </row>
    <row r="58" spans="2:10">
      <c r="B58" s="20"/>
    </row>
    <row r="59" spans="2:10">
      <c r="B59" s="20"/>
    </row>
    <row r="60" spans="2:10">
      <c r="B60" s="20"/>
    </row>
    <row r="61" spans="2:10">
      <c r="B61" s="20"/>
    </row>
    <row r="62" spans="2:10">
      <c r="B62" s="20"/>
    </row>
    <row r="63" spans="2:10">
      <c r="B63" s="20"/>
    </row>
    <row r="64" spans="2:10">
      <c r="B64" s="20"/>
    </row>
    <row r="65" spans="2:2">
      <c r="B65" s="20"/>
    </row>
    <row r="66" spans="2:2">
      <c r="B66" s="20"/>
    </row>
    <row r="67" spans="2:2">
      <c r="B67" s="20"/>
    </row>
    <row r="68" spans="2:2">
      <c r="B68" s="20"/>
    </row>
    <row r="69" spans="2:2">
      <c r="B69" s="20"/>
    </row>
    <row r="70" spans="2:2">
      <c r="B70" s="20"/>
    </row>
    <row r="71" spans="2:2">
      <c r="B71" s="20"/>
    </row>
    <row r="72" spans="2:2">
      <c r="B72" s="20"/>
    </row>
    <row r="73" spans="2:2">
      <c r="B73" s="20"/>
    </row>
    <row r="74" spans="2:2">
      <c r="B74" s="20"/>
    </row>
    <row r="75" spans="2:2">
      <c r="B75" s="20"/>
    </row>
    <row r="76" spans="2:2">
      <c r="B76" s="20"/>
    </row>
    <row r="77" spans="2:2">
      <c r="B77" s="20"/>
    </row>
    <row r="78" spans="2:2">
      <c r="B78" s="20"/>
    </row>
    <row r="79" spans="2:2">
      <c r="B79" s="20"/>
    </row>
    <row r="80" spans="2:2">
      <c r="B80" s="20"/>
    </row>
    <row r="81" spans="2:2">
      <c r="B81" s="20"/>
    </row>
    <row r="82" spans="2:2">
      <c r="B82" s="20"/>
    </row>
    <row r="83" spans="2:2">
      <c r="B83" s="20"/>
    </row>
    <row r="84" spans="2:2">
      <c r="B84" s="20"/>
    </row>
    <row r="85" spans="2:2">
      <c r="B85" s="20"/>
    </row>
    <row r="86" spans="2:2">
      <c r="B86" s="20"/>
    </row>
    <row r="87" spans="2:2">
      <c r="B87" s="20"/>
    </row>
    <row r="88" spans="2:2">
      <c r="B88" s="20"/>
    </row>
    <row r="89" spans="2:2">
      <c r="B89" s="20"/>
    </row>
    <row r="90" spans="2:2">
      <c r="B90" s="20"/>
    </row>
    <row r="91" spans="2:2">
      <c r="B91" s="20"/>
    </row>
    <row r="92" spans="2:2">
      <c r="B92" s="20"/>
    </row>
    <row r="93" spans="2:2">
      <c r="B93" s="20"/>
    </row>
    <row r="94" spans="2:2">
      <c r="B94" s="20"/>
    </row>
    <row r="95" spans="2:2">
      <c r="B95" s="20"/>
    </row>
    <row r="96" spans="2:2">
      <c r="B96" s="20"/>
    </row>
    <row r="97" spans="2:2">
      <c r="B97" s="20"/>
    </row>
    <row r="98" spans="2:2">
      <c r="B98" s="20"/>
    </row>
    <row r="99" spans="2:2">
      <c r="B99" s="20"/>
    </row>
    <row r="100" spans="2:2">
      <c r="B100" s="20"/>
    </row>
    <row r="101" spans="2:2">
      <c r="B101" s="20"/>
    </row>
    <row r="102" spans="2:2">
      <c r="B102" s="20"/>
    </row>
    <row r="103" spans="2:2">
      <c r="B103" s="20"/>
    </row>
    <row r="104" spans="2:2">
      <c r="B104" s="20"/>
    </row>
    <row r="105" spans="2:2">
      <c r="B105" s="20"/>
    </row>
    <row r="106" spans="2:2">
      <c r="B106" s="20"/>
    </row>
    <row r="107" spans="2:2">
      <c r="B107" s="20"/>
    </row>
    <row r="108" spans="2:2">
      <c r="B108" s="20"/>
    </row>
    <row r="109" spans="2:2">
      <c r="B109" s="20"/>
    </row>
    <row r="110" spans="2:2">
      <c r="B110" s="20"/>
    </row>
    <row r="111" spans="2:2">
      <c r="B111" s="20"/>
    </row>
    <row r="112" spans="2:2">
      <c r="B112" s="20"/>
    </row>
    <row r="113" spans="2:2">
      <c r="B113" s="20"/>
    </row>
    <row r="114" spans="2:2">
      <c r="B114" s="20"/>
    </row>
    <row r="115" spans="2:2">
      <c r="B115" s="20"/>
    </row>
    <row r="116" spans="2:2">
      <c r="B116" s="20"/>
    </row>
    <row r="117" spans="2:2">
      <c r="B117" s="20"/>
    </row>
    <row r="118" spans="2:2">
      <c r="B118" s="20"/>
    </row>
    <row r="119" spans="2:2">
      <c r="B119" s="20"/>
    </row>
    <row r="120" spans="2:2">
      <c r="B120" s="20"/>
    </row>
    <row r="121" spans="2:2">
      <c r="B121" s="20"/>
    </row>
    <row r="122" spans="2:2">
      <c r="B122" s="20"/>
    </row>
    <row r="123" spans="2:2">
      <c r="B123" s="20"/>
    </row>
    <row r="124" spans="2:2">
      <c r="B124" s="20"/>
    </row>
    <row r="125" spans="2:2">
      <c r="B125" s="20"/>
    </row>
    <row r="126" spans="2:2">
      <c r="B126" s="20"/>
    </row>
    <row r="127" spans="2:2">
      <c r="B127" s="20"/>
    </row>
    <row r="128" spans="2:2">
      <c r="B128" s="20"/>
    </row>
    <row r="129" spans="2:2">
      <c r="B129" s="20"/>
    </row>
    <row r="130" spans="2:2">
      <c r="B130" s="20"/>
    </row>
    <row r="131" spans="2:2">
      <c r="B131" s="20"/>
    </row>
    <row r="132" spans="2:2">
      <c r="B132" s="20"/>
    </row>
    <row r="133" spans="2:2">
      <c r="B133" s="20"/>
    </row>
    <row r="134" spans="2:2">
      <c r="B134" s="20"/>
    </row>
    <row r="135" spans="2:2">
      <c r="B135" s="20"/>
    </row>
    <row r="136" spans="2:2">
      <c r="B136" s="20"/>
    </row>
    <row r="137" spans="2:2">
      <c r="B137" s="20"/>
    </row>
    <row r="138" spans="2:2">
      <c r="B138" s="20"/>
    </row>
    <row r="139" spans="2:2">
      <c r="B139" s="20"/>
    </row>
    <row r="140" spans="2:2">
      <c r="B140" s="20"/>
    </row>
    <row r="141" spans="2:2">
      <c r="B141" s="20"/>
    </row>
    <row r="142" spans="2:2">
      <c r="B142" s="20"/>
    </row>
    <row r="143" spans="2:2">
      <c r="B143" s="20"/>
    </row>
    <row r="144" spans="2:2">
      <c r="B144" s="20"/>
    </row>
    <row r="145" spans="2:2">
      <c r="B145" s="20"/>
    </row>
    <row r="146" spans="2:2">
      <c r="B146" s="20"/>
    </row>
    <row r="147" spans="2:2">
      <c r="B147" s="20"/>
    </row>
    <row r="148" spans="2:2">
      <c r="B148" s="20"/>
    </row>
    <row r="149" spans="2:2">
      <c r="B149" s="20"/>
    </row>
    <row r="150" spans="2:2">
      <c r="B150" s="20"/>
    </row>
    <row r="151" spans="2:2">
      <c r="B151" s="20"/>
    </row>
    <row r="152" spans="2:2">
      <c r="B152" s="20"/>
    </row>
    <row r="153" spans="2:2">
      <c r="B153" s="20"/>
    </row>
    <row r="154" spans="2:2">
      <c r="B154" s="20"/>
    </row>
    <row r="155" spans="2:2">
      <c r="B155" s="20"/>
    </row>
    <row r="156" spans="2:2">
      <c r="B156" s="20"/>
    </row>
    <row r="157" spans="2:2">
      <c r="B157" s="20"/>
    </row>
    <row r="158" spans="2:2">
      <c r="B158" s="20"/>
    </row>
    <row r="159" spans="2:2">
      <c r="B159" s="20"/>
    </row>
    <row r="160" spans="2:2">
      <c r="B160" s="20"/>
    </row>
    <row r="161" spans="2:2">
      <c r="B161" s="20"/>
    </row>
    <row r="162" spans="2:2">
      <c r="B162" s="20"/>
    </row>
    <row r="163" spans="2:2">
      <c r="B163" s="20"/>
    </row>
    <row r="164" spans="2:2">
      <c r="B164" s="20"/>
    </row>
    <row r="165" spans="2:2">
      <c r="B165" s="20"/>
    </row>
    <row r="166" spans="2:2">
      <c r="B166" s="20"/>
    </row>
    <row r="167" spans="2:2">
      <c r="B167" s="20"/>
    </row>
    <row r="168" spans="2:2">
      <c r="B168" s="20"/>
    </row>
    <row r="169" spans="2:2">
      <c r="B169" s="20"/>
    </row>
    <row r="170" spans="2:2">
      <c r="B170" s="20"/>
    </row>
    <row r="171" spans="2:2">
      <c r="B171" s="20"/>
    </row>
    <row r="172" spans="2:2">
      <c r="B172" s="20"/>
    </row>
    <row r="173" spans="2:2">
      <c r="B173" s="20"/>
    </row>
    <row r="174" spans="2:2">
      <c r="B174" s="20"/>
    </row>
    <row r="175" spans="2:2">
      <c r="B175" s="20"/>
    </row>
    <row r="176" spans="2:2">
      <c r="B176" s="20"/>
    </row>
    <row r="177" spans="2:2">
      <c r="B177" s="20"/>
    </row>
    <row r="178" spans="2:2">
      <c r="B178" s="20"/>
    </row>
    <row r="179" spans="2:2">
      <c r="B179" s="20"/>
    </row>
    <row r="180" spans="2:2">
      <c r="B180" s="20"/>
    </row>
    <row r="181" spans="2:2">
      <c r="B181" s="20"/>
    </row>
    <row r="182" spans="2:2">
      <c r="B182" s="20"/>
    </row>
    <row r="183" spans="2:2">
      <c r="B183" s="20"/>
    </row>
    <row r="184" spans="2:2">
      <c r="B184" s="20"/>
    </row>
    <row r="185" spans="2:2">
      <c r="B185" s="20"/>
    </row>
    <row r="186" spans="2:2">
      <c r="B186" s="20"/>
    </row>
    <row r="187" spans="2:2">
      <c r="B187" s="20"/>
    </row>
    <row r="188" spans="2:2">
      <c r="B188" s="20"/>
    </row>
    <row r="189" spans="2:2">
      <c r="B189" s="20"/>
    </row>
    <row r="190" spans="2:2">
      <c r="B190" s="20"/>
    </row>
    <row r="191" spans="2:2">
      <c r="B191" s="20"/>
    </row>
    <row r="192" spans="2:2">
      <c r="B192" s="20"/>
    </row>
    <row r="193" spans="2:2">
      <c r="B193" s="20"/>
    </row>
    <row r="194" spans="2:2">
      <c r="B194" s="20"/>
    </row>
    <row r="195" spans="2:2">
      <c r="B195" s="20"/>
    </row>
    <row r="196" spans="2:2">
      <c r="B196" s="20"/>
    </row>
    <row r="197" spans="2:2">
      <c r="B197" s="20"/>
    </row>
    <row r="198" spans="2:2">
      <c r="B198" s="20"/>
    </row>
    <row r="199" spans="2:2">
      <c r="B199" s="20"/>
    </row>
    <row r="200" spans="2:2">
      <c r="B200" s="21"/>
    </row>
  </sheetData>
  <mergeCells count="1">
    <mergeCell ref="D9:J9"/>
  </mergeCells>
  <phoneticPr fontId="13"/>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0000"/>
  </sheetPr>
  <dimension ref="A1:S346"/>
  <sheetViews>
    <sheetView topLeftCell="B1" workbookViewId="0">
      <selection activeCell="G20" sqref="G20:H346"/>
    </sheetView>
  </sheetViews>
  <sheetFormatPr baseColWidth="10" defaultColWidth="9.140625" defaultRowHeight="12.75"/>
  <cols>
    <col min="1" max="1" width="23.42578125" style="62" customWidth="1"/>
    <col min="2" max="2" width="16.140625" style="61" customWidth="1"/>
    <col min="3" max="3" width="18.85546875" style="61" customWidth="1"/>
    <col min="4" max="4" width="13" style="61" customWidth="1"/>
    <col min="5" max="6" width="6.85546875" style="61" customWidth="1"/>
    <col min="7" max="7" width="6.85546875" style="111" customWidth="1"/>
    <col min="8" max="8" width="6.85546875" style="80" customWidth="1"/>
    <col min="9" max="11" width="32.7109375" style="62" customWidth="1"/>
    <col min="12" max="12" width="32.7109375" style="305" customWidth="1"/>
    <col min="13" max="14" width="32.7109375" style="62" customWidth="1"/>
    <col min="15" max="15" width="5" style="62" customWidth="1"/>
    <col min="16" max="17" width="10" style="62" customWidth="1"/>
    <col min="18" max="18" width="11.7109375" style="62" customWidth="1"/>
    <col min="19" max="19" width="10" style="62" customWidth="1"/>
    <col min="20" max="16384" width="9.140625" style="61"/>
  </cols>
  <sheetData>
    <row r="1" spans="1:2" ht="15.75">
      <c r="A1" s="60" t="s">
        <v>62</v>
      </c>
    </row>
    <row r="2" spans="1:2" ht="15.75">
      <c r="A2" s="63"/>
    </row>
    <row r="3" spans="1:2">
      <c r="A3" s="64" t="s">
        <v>60</v>
      </c>
    </row>
    <row r="4" spans="1:2">
      <c r="A4" s="65" t="s">
        <v>20</v>
      </c>
      <c r="B4" s="101">
        <v>9</v>
      </c>
    </row>
    <row r="5" spans="1:2">
      <c r="A5" s="65" t="s">
        <v>61</v>
      </c>
      <c r="B5" s="101">
        <v>10</v>
      </c>
    </row>
    <row r="6" spans="1:2">
      <c r="A6" s="65" t="s">
        <v>93</v>
      </c>
      <c r="B6" s="101">
        <v>11</v>
      </c>
    </row>
    <row r="7" spans="1:2">
      <c r="A7" s="65" t="s">
        <v>94</v>
      </c>
      <c r="B7" s="101">
        <v>12</v>
      </c>
    </row>
    <row r="8" spans="1:2">
      <c r="A8" s="65" t="s">
        <v>1066</v>
      </c>
      <c r="B8" s="101">
        <v>13</v>
      </c>
    </row>
    <row r="9" spans="1:2">
      <c r="A9" s="65" t="s">
        <v>1067</v>
      </c>
      <c r="B9" s="100">
        <v>14</v>
      </c>
    </row>
    <row r="10" spans="1:2">
      <c r="A10" s="65"/>
      <c r="B10" s="101"/>
    </row>
    <row r="11" spans="1:2">
      <c r="A11" s="65"/>
      <c r="B11" s="101"/>
    </row>
    <row r="12" spans="1:2">
      <c r="A12" s="65"/>
      <c r="B12" s="100"/>
    </row>
    <row r="13" spans="1:2">
      <c r="A13" s="65"/>
      <c r="B13" s="101"/>
    </row>
    <row r="14" spans="1:2" ht="15.75">
      <c r="A14" s="63"/>
    </row>
    <row r="15" spans="1:2">
      <c r="A15" s="66" t="s">
        <v>63</v>
      </c>
      <c r="B15" s="67">
        <v>10</v>
      </c>
    </row>
    <row r="17" spans="1:19" ht="15.75">
      <c r="A17" s="63"/>
    </row>
    <row r="18" spans="1:19" ht="12.75" customHeight="1">
      <c r="A18" s="64" t="s">
        <v>62</v>
      </c>
      <c r="E18" s="361" t="s">
        <v>900</v>
      </c>
      <c r="F18" s="362"/>
      <c r="G18" s="361" t="s">
        <v>901</v>
      </c>
      <c r="H18" s="362"/>
      <c r="K18" s="111"/>
      <c r="O18" s="363" t="s">
        <v>1065</v>
      </c>
      <c r="P18" s="363"/>
      <c r="Q18" s="363"/>
      <c r="R18" s="363"/>
      <c r="S18" s="363"/>
    </row>
    <row r="19" spans="1:19" ht="38.25">
      <c r="A19" s="68" t="s">
        <v>21</v>
      </c>
      <c r="B19" s="68" t="s">
        <v>23</v>
      </c>
      <c r="C19" s="68" t="s">
        <v>22</v>
      </c>
      <c r="D19" s="68" t="s">
        <v>215</v>
      </c>
      <c r="E19" s="68" t="s">
        <v>542</v>
      </c>
      <c r="F19" s="68" t="s">
        <v>19</v>
      </c>
      <c r="G19" s="68" t="s">
        <v>542</v>
      </c>
      <c r="H19" s="68" t="s">
        <v>19</v>
      </c>
      <c r="I19" s="68" t="s">
        <v>20</v>
      </c>
      <c r="J19" s="68" t="s">
        <v>61</v>
      </c>
      <c r="K19" s="68" t="s">
        <v>356</v>
      </c>
      <c r="L19" s="306" t="s">
        <v>94</v>
      </c>
      <c r="M19" s="68" t="s">
        <v>1066</v>
      </c>
      <c r="N19" s="68" t="s">
        <v>1067</v>
      </c>
      <c r="O19" s="68" t="s">
        <v>1061</v>
      </c>
      <c r="P19" s="68" t="s">
        <v>1062</v>
      </c>
      <c r="Q19" s="68" t="s">
        <v>1063</v>
      </c>
      <c r="R19" s="68" t="s">
        <v>1066</v>
      </c>
      <c r="S19" s="68" t="s">
        <v>1067</v>
      </c>
    </row>
    <row r="20" spans="1:19" s="73" customFormat="1" ht="12.75" customHeight="1">
      <c r="A20" s="69" t="s">
        <v>216</v>
      </c>
      <c r="B20" s="70" t="s">
        <v>217</v>
      </c>
      <c r="C20" s="70" t="s">
        <v>46</v>
      </c>
      <c r="D20" s="70" t="s">
        <v>41</v>
      </c>
      <c r="E20" s="71"/>
      <c r="F20" s="71"/>
      <c r="G20" s="231"/>
      <c r="H20" s="232"/>
      <c r="I20" s="69" t="s">
        <v>103</v>
      </c>
      <c r="J20" s="69" t="s">
        <v>105</v>
      </c>
      <c r="K20" s="97" t="s">
        <v>357</v>
      </c>
      <c r="L20" s="293" t="s">
        <v>1443</v>
      </c>
      <c r="M20" s="291" t="s">
        <v>1068</v>
      </c>
      <c r="N20" s="291" t="s">
        <v>1254</v>
      </c>
      <c r="O20" s="303">
        <v>1</v>
      </c>
      <c r="P20" s="303" t="s">
        <v>1064</v>
      </c>
      <c r="Q20" s="303" t="s">
        <v>1064</v>
      </c>
      <c r="R20" s="303" t="s">
        <v>1064</v>
      </c>
      <c r="S20" s="303" t="s">
        <v>1064</v>
      </c>
    </row>
    <row r="21" spans="1:19" s="73" customFormat="1" ht="25.5" customHeight="1">
      <c r="A21" s="69" t="s">
        <v>216</v>
      </c>
      <c r="B21" s="70" t="s">
        <v>217</v>
      </c>
      <c r="C21" s="70" t="s">
        <v>7</v>
      </c>
      <c r="D21" s="70" t="s">
        <v>41</v>
      </c>
      <c r="E21" s="71"/>
      <c r="F21" s="71"/>
      <c r="G21" s="231"/>
      <c r="H21" s="231"/>
      <c r="I21" s="69" t="s">
        <v>218</v>
      </c>
      <c r="J21" s="69" t="s">
        <v>219</v>
      </c>
      <c r="K21" s="291" t="s">
        <v>689</v>
      </c>
      <c r="L21" s="293" t="s">
        <v>1444</v>
      </c>
      <c r="M21" s="291" t="s">
        <v>1069</v>
      </c>
      <c r="N21" s="291" t="s">
        <v>1255</v>
      </c>
      <c r="O21" s="303">
        <v>2</v>
      </c>
      <c r="P21" s="303" t="s">
        <v>1064</v>
      </c>
      <c r="Q21" s="303" t="s">
        <v>1064</v>
      </c>
      <c r="R21" s="303" t="s">
        <v>1064</v>
      </c>
      <c r="S21" s="303" t="s">
        <v>1064</v>
      </c>
    </row>
    <row r="22" spans="1:19" s="73" customFormat="1" ht="12.75" customHeight="1">
      <c r="A22" s="69" t="s">
        <v>216</v>
      </c>
      <c r="B22" s="70" t="s">
        <v>217</v>
      </c>
      <c r="C22" s="70" t="s">
        <v>8</v>
      </c>
      <c r="D22" s="70" t="s">
        <v>41</v>
      </c>
      <c r="E22" s="71"/>
      <c r="F22" s="71"/>
      <c r="G22" s="231"/>
      <c r="H22" s="231"/>
      <c r="I22" s="69" t="s">
        <v>5</v>
      </c>
      <c r="J22" s="69" t="s">
        <v>220</v>
      </c>
      <c r="K22" s="291" t="s">
        <v>358</v>
      </c>
      <c r="L22" s="293" t="s">
        <v>1445</v>
      </c>
      <c r="M22" s="291" t="s">
        <v>1070</v>
      </c>
      <c r="N22" s="291" t="s">
        <v>1256</v>
      </c>
      <c r="O22" s="303">
        <v>3</v>
      </c>
      <c r="P22" s="303" t="s">
        <v>1064</v>
      </c>
      <c r="Q22" s="303" t="s">
        <v>1064</v>
      </c>
      <c r="R22" s="303" t="s">
        <v>1064</v>
      </c>
      <c r="S22" s="303" t="s">
        <v>1064</v>
      </c>
    </row>
    <row r="23" spans="1:19" s="73" customFormat="1" ht="12.75" customHeight="1">
      <c r="A23" s="69" t="s">
        <v>216</v>
      </c>
      <c r="B23" s="70" t="s">
        <v>217</v>
      </c>
      <c r="C23" s="70" t="s">
        <v>9</v>
      </c>
      <c r="D23" s="70" t="s">
        <v>41</v>
      </c>
      <c r="E23" s="71"/>
      <c r="F23" s="71"/>
      <c r="G23" s="231"/>
      <c r="H23" s="231"/>
      <c r="I23" s="69" t="s">
        <v>47</v>
      </c>
      <c r="J23" s="69" t="s">
        <v>221</v>
      </c>
      <c r="K23" s="291" t="s">
        <v>359</v>
      </c>
      <c r="L23" s="293" t="s">
        <v>47</v>
      </c>
      <c r="M23" s="291" t="s">
        <v>1071</v>
      </c>
      <c r="N23" s="291" t="s">
        <v>1257</v>
      </c>
      <c r="O23" s="303">
        <v>4</v>
      </c>
      <c r="P23" s="303" t="s">
        <v>1064</v>
      </c>
      <c r="Q23" s="303" t="s">
        <v>1064</v>
      </c>
      <c r="R23" s="303" t="s">
        <v>1064</v>
      </c>
      <c r="S23" s="303" t="s">
        <v>1064</v>
      </c>
    </row>
    <row r="24" spans="1:19" s="73" customFormat="1" ht="12.75" customHeight="1">
      <c r="A24" s="69" t="s">
        <v>216</v>
      </c>
      <c r="B24" s="70" t="s">
        <v>217</v>
      </c>
      <c r="C24" s="70" t="s">
        <v>10</v>
      </c>
      <c r="D24" s="70" t="s">
        <v>41</v>
      </c>
      <c r="E24" s="71"/>
      <c r="F24" s="71"/>
      <c r="G24" s="231"/>
      <c r="H24" s="231"/>
      <c r="I24" s="69" t="s">
        <v>879</v>
      </c>
      <c r="J24" s="69" t="s">
        <v>880</v>
      </c>
      <c r="K24" s="291" t="s">
        <v>882</v>
      </c>
      <c r="L24" s="291" t="s">
        <v>883</v>
      </c>
      <c r="M24" s="291" t="s">
        <v>1072</v>
      </c>
      <c r="N24" s="291" t="s">
        <v>1258</v>
      </c>
      <c r="O24" s="303">
        <v>5</v>
      </c>
      <c r="P24" s="303" t="s">
        <v>1064</v>
      </c>
      <c r="Q24" s="303" t="s">
        <v>1064</v>
      </c>
      <c r="R24" s="303" t="s">
        <v>1064</v>
      </c>
      <c r="S24" s="303" t="s">
        <v>1064</v>
      </c>
    </row>
    <row r="25" spans="1:19" s="73" customFormat="1" ht="25.5" customHeight="1">
      <c r="A25" s="69" t="s">
        <v>216</v>
      </c>
      <c r="B25" s="70" t="s">
        <v>217</v>
      </c>
      <c r="C25" s="70" t="s">
        <v>11</v>
      </c>
      <c r="D25" s="70" t="s">
        <v>41</v>
      </c>
      <c r="E25" s="71"/>
      <c r="F25" s="71"/>
      <c r="G25" s="231"/>
      <c r="H25" s="231"/>
      <c r="I25" s="69" t="s">
        <v>84</v>
      </c>
      <c r="J25" s="69" t="s">
        <v>881</v>
      </c>
      <c r="K25" s="291" t="s">
        <v>449</v>
      </c>
      <c r="L25" s="293" t="s">
        <v>1446</v>
      </c>
      <c r="M25" s="291" t="s">
        <v>1073</v>
      </c>
      <c r="N25" s="291" t="s">
        <v>1259</v>
      </c>
      <c r="O25" s="303">
        <v>6</v>
      </c>
      <c r="P25" s="303" t="s">
        <v>1064</v>
      </c>
      <c r="Q25" s="303" t="s">
        <v>1064</v>
      </c>
      <c r="R25" s="303" t="s">
        <v>1064</v>
      </c>
      <c r="S25" s="303" t="s">
        <v>1064</v>
      </c>
    </row>
    <row r="26" spans="1:19" s="73" customFormat="1" ht="12.75" customHeight="1">
      <c r="A26" s="69" t="s">
        <v>216</v>
      </c>
      <c r="B26" s="70" t="s">
        <v>217</v>
      </c>
      <c r="C26" s="70" t="s">
        <v>45</v>
      </c>
      <c r="D26" s="70" t="s">
        <v>41</v>
      </c>
      <c r="E26" s="71"/>
      <c r="F26" s="71"/>
      <c r="G26" s="231"/>
      <c r="H26" s="231"/>
      <c r="I26" s="69" t="s">
        <v>222</v>
      </c>
      <c r="J26" s="69" t="s">
        <v>223</v>
      </c>
      <c r="K26" s="291" t="s">
        <v>360</v>
      </c>
      <c r="L26" s="291" t="s">
        <v>87</v>
      </c>
      <c r="M26" s="291" t="s">
        <v>1074</v>
      </c>
      <c r="N26" s="291" t="s">
        <v>1260</v>
      </c>
      <c r="O26" s="303">
        <v>7</v>
      </c>
      <c r="P26" s="303" t="s">
        <v>1064</v>
      </c>
      <c r="Q26" s="303" t="s">
        <v>1064</v>
      </c>
      <c r="R26" s="303" t="s">
        <v>1064</v>
      </c>
      <c r="S26" s="303" t="s">
        <v>1064</v>
      </c>
    </row>
    <row r="27" spans="1:19" s="73" customFormat="1" ht="25.5" customHeight="1">
      <c r="A27" s="69" t="s">
        <v>216</v>
      </c>
      <c r="B27" s="70" t="s">
        <v>217</v>
      </c>
      <c r="C27" s="70" t="s">
        <v>12</v>
      </c>
      <c r="D27" s="70" t="s">
        <v>41</v>
      </c>
      <c r="E27" s="71"/>
      <c r="F27" s="71"/>
      <c r="G27" s="231"/>
      <c r="H27" s="231"/>
      <c r="I27" s="69" t="s">
        <v>224</v>
      </c>
      <c r="J27" s="69" t="s">
        <v>95</v>
      </c>
      <c r="K27" s="291" t="s">
        <v>450</v>
      </c>
      <c r="L27" s="293" t="s">
        <v>1447</v>
      </c>
      <c r="M27" s="291" t="s">
        <v>1075</v>
      </c>
      <c r="N27" s="291" t="s">
        <v>1261</v>
      </c>
      <c r="O27" s="303">
        <v>8</v>
      </c>
      <c r="P27" s="303" t="s">
        <v>1064</v>
      </c>
      <c r="Q27" s="303" t="s">
        <v>1064</v>
      </c>
      <c r="R27" s="303" t="s">
        <v>1064</v>
      </c>
      <c r="S27" s="303" t="s">
        <v>1064</v>
      </c>
    </row>
    <row r="28" spans="1:19" s="73" customFormat="1" ht="12.75" customHeight="1">
      <c r="A28" s="69" t="s">
        <v>216</v>
      </c>
      <c r="B28" s="70" t="s">
        <v>217</v>
      </c>
      <c r="C28" s="70" t="s">
        <v>13</v>
      </c>
      <c r="D28" s="70" t="s">
        <v>41</v>
      </c>
      <c r="E28" s="71"/>
      <c r="F28" s="71"/>
      <c r="G28" s="231"/>
      <c r="H28" s="231"/>
      <c r="I28" s="69" t="s">
        <v>48</v>
      </c>
      <c r="J28" s="69" t="s">
        <v>225</v>
      </c>
      <c r="K28" s="291" t="s">
        <v>333</v>
      </c>
      <c r="L28" s="291" t="s">
        <v>226</v>
      </c>
      <c r="M28" s="291" t="s">
        <v>1076</v>
      </c>
      <c r="N28" s="291" t="s">
        <v>1262</v>
      </c>
      <c r="O28" s="303">
        <v>9</v>
      </c>
      <c r="P28" s="303" t="s">
        <v>1064</v>
      </c>
      <c r="Q28" s="303" t="s">
        <v>1064</v>
      </c>
      <c r="R28" s="303" t="s">
        <v>1064</v>
      </c>
      <c r="S28" s="303" t="s">
        <v>1064</v>
      </c>
    </row>
    <row r="29" spans="1:19" s="73" customFormat="1" ht="25.5" customHeight="1">
      <c r="A29" s="69" t="s">
        <v>216</v>
      </c>
      <c r="B29" s="70" t="s">
        <v>217</v>
      </c>
      <c r="C29" s="70" t="s">
        <v>14</v>
      </c>
      <c r="D29" s="70" t="s">
        <v>41</v>
      </c>
      <c r="E29" s="71"/>
      <c r="F29" s="71"/>
      <c r="G29" s="231"/>
      <c r="H29" s="231"/>
      <c r="I29" s="69" t="s">
        <v>227</v>
      </c>
      <c r="J29" s="69" t="s">
        <v>228</v>
      </c>
      <c r="K29" s="291" t="s">
        <v>361</v>
      </c>
      <c r="L29" s="293" t="s">
        <v>1448</v>
      </c>
      <c r="M29" s="291" t="s">
        <v>1077</v>
      </c>
      <c r="N29" s="291" t="s">
        <v>1263</v>
      </c>
      <c r="O29" s="303">
        <v>10</v>
      </c>
      <c r="P29" s="303" t="s">
        <v>1064</v>
      </c>
      <c r="Q29" s="303" t="s">
        <v>1064</v>
      </c>
      <c r="R29" s="303" t="s">
        <v>1064</v>
      </c>
      <c r="S29" s="303" t="s">
        <v>1064</v>
      </c>
    </row>
    <row r="30" spans="1:19" s="73" customFormat="1" ht="12.75" customHeight="1">
      <c r="A30" s="69" t="s">
        <v>216</v>
      </c>
      <c r="B30" s="70" t="s">
        <v>217</v>
      </c>
      <c r="C30" s="70" t="s">
        <v>15</v>
      </c>
      <c r="D30" s="70" t="s">
        <v>41</v>
      </c>
      <c r="E30" s="71"/>
      <c r="F30" s="71"/>
      <c r="G30" s="231"/>
      <c r="H30" s="231"/>
      <c r="I30" s="69" t="s">
        <v>229</v>
      </c>
      <c r="J30" s="69" t="s">
        <v>117</v>
      </c>
      <c r="K30" s="291" t="s">
        <v>334</v>
      </c>
      <c r="L30" s="291" t="s">
        <v>229</v>
      </c>
      <c r="M30" s="291" t="s">
        <v>334</v>
      </c>
      <c r="N30" s="291" t="s">
        <v>1264</v>
      </c>
      <c r="O30" s="303">
        <v>11</v>
      </c>
      <c r="P30" s="303" t="s">
        <v>1064</v>
      </c>
      <c r="Q30" s="303" t="s">
        <v>1064</v>
      </c>
      <c r="R30" s="303" t="s">
        <v>1064</v>
      </c>
      <c r="S30" s="303" t="s">
        <v>1064</v>
      </c>
    </row>
    <row r="31" spans="1:19" s="73" customFormat="1" ht="12.75" customHeight="1">
      <c r="A31" s="69" t="s">
        <v>216</v>
      </c>
      <c r="B31" s="70" t="s">
        <v>217</v>
      </c>
      <c r="C31" s="70" t="s">
        <v>546</v>
      </c>
      <c r="D31" s="70" t="s">
        <v>41</v>
      </c>
      <c r="E31" s="71"/>
      <c r="F31" s="71"/>
      <c r="G31" s="231"/>
      <c r="H31" s="231"/>
      <c r="I31" s="69" t="s">
        <v>548</v>
      </c>
      <c r="J31" s="69" t="s">
        <v>547</v>
      </c>
      <c r="K31" s="291" t="s">
        <v>549</v>
      </c>
      <c r="L31" s="291" t="s">
        <v>550</v>
      </c>
      <c r="M31" s="291" t="s">
        <v>1078</v>
      </c>
      <c r="N31" s="291" t="s">
        <v>1265</v>
      </c>
      <c r="O31" s="303">
        <v>12</v>
      </c>
      <c r="P31" s="303" t="s">
        <v>1064</v>
      </c>
      <c r="Q31" s="303" t="s">
        <v>1064</v>
      </c>
      <c r="R31" s="303" t="s">
        <v>1064</v>
      </c>
      <c r="S31" s="303" t="s">
        <v>1064</v>
      </c>
    </row>
    <row r="32" spans="1:19" s="73" customFormat="1" ht="12.75" customHeight="1">
      <c r="A32" s="69" t="s">
        <v>216</v>
      </c>
      <c r="B32" s="70" t="s">
        <v>217</v>
      </c>
      <c r="C32" s="70" t="s">
        <v>16</v>
      </c>
      <c r="D32" s="70" t="s">
        <v>41</v>
      </c>
      <c r="E32" s="71"/>
      <c r="F32" s="71"/>
      <c r="G32" s="231"/>
      <c r="H32" s="231"/>
      <c r="I32" s="69" t="s">
        <v>49</v>
      </c>
      <c r="J32" s="69" t="s">
        <v>690</v>
      </c>
      <c r="K32" s="291" t="s">
        <v>451</v>
      </c>
      <c r="L32" s="293" t="s">
        <v>1449</v>
      </c>
      <c r="M32" s="291" t="s">
        <v>1079</v>
      </c>
      <c r="N32" s="291" t="s">
        <v>1266</v>
      </c>
      <c r="O32" s="303">
        <v>13</v>
      </c>
      <c r="P32" s="303" t="s">
        <v>1064</v>
      </c>
      <c r="Q32" s="303" t="s">
        <v>1064</v>
      </c>
      <c r="R32" s="303" t="s">
        <v>1064</v>
      </c>
      <c r="S32" s="303" t="s">
        <v>1064</v>
      </c>
    </row>
    <row r="33" spans="1:19" s="73" customFormat="1" ht="12.75" customHeight="1">
      <c r="A33" s="69" t="s">
        <v>216</v>
      </c>
      <c r="B33" s="70" t="s">
        <v>217</v>
      </c>
      <c r="C33" s="70" t="s">
        <v>17</v>
      </c>
      <c r="D33" s="70" t="s">
        <v>41</v>
      </c>
      <c r="E33" s="71"/>
      <c r="F33" s="71"/>
      <c r="G33" s="231"/>
      <c r="H33" s="231"/>
      <c r="I33" s="69" t="s">
        <v>50</v>
      </c>
      <c r="J33" s="69" t="s">
        <v>691</v>
      </c>
      <c r="K33" s="291" t="s">
        <v>362</v>
      </c>
      <c r="L33" s="291" t="s">
        <v>230</v>
      </c>
      <c r="M33" s="291" t="s">
        <v>1080</v>
      </c>
      <c r="N33" s="291" t="s">
        <v>1267</v>
      </c>
      <c r="O33" s="303">
        <v>14</v>
      </c>
      <c r="P33" s="303" t="s">
        <v>1064</v>
      </c>
      <c r="Q33" s="303" t="s">
        <v>1064</v>
      </c>
      <c r="R33" s="303" t="s">
        <v>1064</v>
      </c>
      <c r="S33" s="303" t="s">
        <v>1064</v>
      </c>
    </row>
    <row r="34" spans="1:19" s="73" customFormat="1" ht="25.5" customHeight="1">
      <c r="A34" s="69" t="s">
        <v>216</v>
      </c>
      <c r="B34" s="70" t="s">
        <v>217</v>
      </c>
      <c r="C34" s="70" t="s">
        <v>231</v>
      </c>
      <c r="D34" s="70" t="s">
        <v>41</v>
      </c>
      <c r="E34" s="71"/>
      <c r="F34" s="71"/>
      <c r="G34" s="231"/>
      <c r="H34" s="231"/>
      <c r="I34" s="69" t="s">
        <v>118</v>
      </c>
      <c r="J34" s="69" t="s">
        <v>692</v>
      </c>
      <c r="K34" s="291" t="s">
        <v>452</v>
      </c>
      <c r="L34" s="293" t="s">
        <v>1451</v>
      </c>
      <c r="M34" s="291" t="s">
        <v>1081</v>
      </c>
      <c r="N34" s="291" t="s">
        <v>1268</v>
      </c>
      <c r="O34" s="303">
        <v>15</v>
      </c>
      <c r="P34" s="303" t="s">
        <v>1064</v>
      </c>
      <c r="Q34" s="303" t="s">
        <v>1064</v>
      </c>
      <c r="R34" s="303" t="s">
        <v>1064</v>
      </c>
      <c r="S34" s="303" t="s">
        <v>1064</v>
      </c>
    </row>
    <row r="35" spans="1:19" s="73" customFormat="1" ht="12.75" customHeight="1">
      <c r="A35" s="69" t="s">
        <v>216</v>
      </c>
      <c r="B35" s="70" t="s">
        <v>217</v>
      </c>
      <c r="C35" s="70" t="s">
        <v>198</v>
      </c>
      <c r="D35" s="70" t="s">
        <v>41</v>
      </c>
      <c r="E35" s="71"/>
      <c r="F35" s="71"/>
      <c r="G35" s="231"/>
      <c r="H35" s="231"/>
      <c r="I35" s="69" t="s">
        <v>200</v>
      </c>
      <c r="J35" s="69" t="s">
        <v>203</v>
      </c>
      <c r="K35" s="292" t="s">
        <v>205</v>
      </c>
      <c r="L35" s="293" t="s">
        <v>1452</v>
      </c>
      <c r="M35" s="291" t="s">
        <v>1082</v>
      </c>
      <c r="N35" s="292" t="s">
        <v>1269</v>
      </c>
      <c r="O35" s="303">
        <v>16</v>
      </c>
      <c r="P35" s="303" t="s">
        <v>1064</v>
      </c>
      <c r="Q35" s="303" t="s">
        <v>1064</v>
      </c>
      <c r="R35" s="303" t="s">
        <v>1064</v>
      </c>
      <c r="S35" s="303" t="s">
        <v>1064</v>
      </c>
    </row>
    <row r="36" spans="1:19" s="73" customFormat="1" ht="12.75" customHeight="1">
      <c r="A36" s="69" t="s">
        <v>216</v>
      </c>
      <c r="B36" s="70" t="s">
        <v>217</v>
      </c>
      <c r="C36" s="70" t="s">
        <v>199</v>
      </c>
      <c r="D36" s="70" t="s">
        <v>41</v>
      </c>
      <c r="E36" s="71"/>
      <c r="F36" s="71"/>
      <c r="G36" s="231"/>
      <c r="H36" s="231"/>
      <c r="I36" s="69" t="s">
        <v>201</v>
      </c>
      <c r="J36" s="69" t="s">
        <v>202</v>
      </c>
      <c r="K36" s="292" t="s">
        <v>206</v>
      </c>
      <c r="L36" s="292" t="s">
        <v>204</v>
      </c>
      <c r="M36" s="291" t="s">
        <v>1083</v>
      </c>
      <c r="N36" s="292" t="s">
        <v>1270</v>
      </c>
      <c r="O36" s="303">
        <v>17</v>
      </c>
      <c r="P36" s="303" t="s">
        <v>1064</v>
      </c>
      <c r="Q36" s="303" t="s">
        <v>1064</v>
      </c>
      <c r="R36" s="303" t="s">
        <v>1064</v>
      </c>
      <c r="S36" s="303" t="s">
        <v>1064</v>
      </c>
    </row>
    <row r="37" spans="1:19" s="103" customFormat="1" ht="12.75" customHeight="1">
      <c r="A37" s="69" t="s">
        <v>330</v>
      </c>
      <c r="B37" s="70" t="s">
        <v>331</v>
      </c>
      <c r="C37" s="70" t="s">
        <v>714</v>
      </c>
      <c r="D37" s="70" t="s">
        <v>41</v>
      </c>
      <c r="E37" s="107"/>
      <c r="F37" s="107"/>
      <c r="G37" s="233"/>
      <c r="H37" s="233"/>
      <c r="I37" s="69" t="s">
        <v>717</v>
      </c>
      <c r="J37" s="69" t="s">
        <v>719</v>
      </c>
      <c r="K37" s="298" t="s">
        <v>721</v>
      </c>
      <c r="L37" s="298" t="s">
        <v>723</v>
      </c>
      <c r="M37" s="291" t="s">
        <v>1084</v>
      </c>
      <c r="N37" s="298" t="s">
        <v>1271</v>
      </c>
      <c r="O37" s="303">
        <v>18</v>
      </c>
      <c r="P37" s="303" t="s">
        <v>1064</v>
      </c>
      <c r="Q37" s="303" t="s">
        <v>1064</v>
      </c>
      <c r="R37" s="303" t="s">
        <v>1064</v>
      </c>
      <c r="S37" s="303" t="s">
        <v>1064</v>
      </c>
    </row>
    <row r="38" spans="1:19" s="103" customFormat="1" ht="38.25" customHeight="1">
      <c r="A38" s="69" t="s">
        <v>330</v>
      </c>
      <c r="B38" s="70" t="s">
        <v>331</v>
      </c>
      <c r="C38" s="70" t="s">
        <v>715</v>
      </c>
      <c r="D38" s="70" t="s">
        <v>41</v>
      </c>
      <c r="E38" s="107"/>
      <c r="F38" s="107"/>
      <c r="G38" s="233"/>
      <c r="H38" s="233"/>
      <c r="I38" s="69" t="s">
        <v>720</v>
      </c>
      <c r="J38" s="69" t="s">
        <v>718</v>
      </c>
      <c r="K38" s="298" t="s">
        <v>722</v>
      </c>
      <c r="L38" s="293" t="s">
        <v>1453</v>
      </c>
      <c r="M38" s="291" t="s">
        <v>1085</v>
      </c>
      <c r="N38" s="298" t="s">
        <v>1272</v>
      </c>
      <c r="O38" s="303">
        <v>19</v>
      </c>
      <c r="P38" s="303" t="s">
        <v>1064</v>
      </c>
      <c r="Q38" s="303" t="s">
        <v>1064</v>
      </c>
      <c r="R38" s="303" t="s">
        <v>1064</v>
      </c>
      <c r="S38" s="303" t="s">
        <v>1064</v>
      </c>
    </row>
    <row r="39" spans="1:19" s="73" customFormat="1" ht="12.75" customHeight="1">
      <c r="A39" s="69" t="s">
        <v>716</v>
      </c>
      <c r="B39" s="70" t="s">
        <v>25</v>
      </c>
      <c r="C39" s="71"/>
      <c r="D39" s="71" t="s">
        <v>66</v>
      </c>
      <c r="E39" s="67">
        <f>ROW(HideValues!B56)</f>
        <v>56</v>
      </c>
      <c r="F39" s="67">
        <f>COLUMN(HideValues!B56)</f>
        <v>2</v>
      </c>
      <c r="G39" s="234">
        <v>56</v>
      </c>
      <c r="H39" s="234">
        <v>2</v>
      </c>
      <c r="I39" s="97" t="s">
        <v>745</v>
      </c>
      <c r="J39" s="97" t="s">
        <v>742</v>
      </c>
      <c r="K39" s="291" t="s">
        <v>750</v>
      </c>
      <c r="L39" s="293" t="s">
        <v>1454</v>
      </c>
      <c r="M39" s="291" t="s">
        <v>1086</v>
      </c>
      <c r="N39" s="291" t="s">
        <v>1273</v>
      </c>
      <c r="O39" s="303">
        <v>20</v>
      </c>
      <c r="P39" s="303" t="s">
        <v>1064</v>
      </c>
      <c r="Q39" s="303" t="s">
        <v>1064</v>
      </c>
      <c r="R39" s="303" t="s">
        <v>1064</v>
      </c>
      <c r="S39" s="303" t="s">
        <v>1064</v>
      </c>
    </row>
    <row r="40" spans="1:19" s="73" customFormat="1" ht="12.75" customHeight="1">
      <c r="A40" s="69" t="s">
        <v>716</v>
      </c>
      <c r="B40" s="70" t="s">
        <v>25</v>
      </c>
      <c r="C40" s="71"/>
      <c r="D40" s="71" t="s">
        <v>66</v>
      </c>
      <c r="E40" s="67">
        <f>ROW(HideValues!B57)</f>
        <v>57</v>
      </c>
      <c r="F40" s="67">
        <f>COLUMN(HideValues!B57)</f>
        <v>2</v>
      </c>
      <c r="G40" s="234">
        <v>57</v>
      </c>
      <c r="H40" s="234">
        <v>2</v>
      </c>
      <c r="I40" s="97" t="s">
        <v>746</v>
      </c>
      <c r="J40" s="97" t="s">
        <v>744</v>
      </c>
      <c r="K40" s="291" t="s">
        <v>751</v>
      </c>
      <c r="L40" s="293" t="s">
        <v>1455</v>
      </c>
      <c r="M40" s="291" t="s">
        <v>1087</v>
      </c>
      <c r="N40" s="291" t="s">
        <v>1274</v>
      </c>
      <c r="O40" s="303">
        <v>21</v>
      </c>
      <c r="P40" s="303" t="s">
        <v>1064</v>
      </c>
      <c r="Q40" s="303" t="s">
        <v>1064</v>
      </c>
      <c r="R40" s="303" t="s">
        <v>1064</v>
      </c>
      <c r="S40" s="303" t="s">
        <v>1064</v>
      </c>
    </row>
    <row r="41" spans="1:19" s="73" customFormat="1" ht="12.75" customHeight="1">
      <c r="A41" s="69" t="s">
        <v>716</v>
      </c>
      <c r="B41" s="70" t="s">
        <v>25</v>
      </c>
      <c r="C41" s="71"/>
      <c r="D41" s="71" t="s">
        <v>66</v>
      </c>
      <c r="E41" s="67">
        <f>ROW(HideValues!B58)</f>
        <v>58</v>
      </c>
      <c r="F41" s="67">
        <f>COLUMN(HideValues!B58)</f>
        <v>2</v>
      </c>
      <c r="G41" s="234">
        <v>58</v>
      </c>
      <c r="H41" s="234">
        <v>2</v>
      </c>
      <c r="I41" s="97" t="s">
        <v>747</v>
      </c>
      <c r="J41" s="97" t="s">
        <v>743</v>
      </c>
      <c r="K41" s="291" t="s">
        <v>752</v>
      </c>
      <c r="L41" s="293" t="s">
        <v>1456</v>
      </c>
      <c r="M41" s="291" t="s">
        <v>1088</v>
      </c>
      <c r="N41" s="291" t="s">
        <v>1275</v>
      </c>
      <c r="O41" s="303">
        <v>22</v>
      </c>
      <c r="P41" s="303" t="s">
        <v>1064</v>
      </c>
      <c r="Q41" s="303" t="s">
        <v>1064</v>
      </c>
      <c r="R41" s="303" t="s">
        <v>1064</v>
      </c>
      <c r="S41" s="303" t="s">
        <v>1064</v>
      </c>
    </row>
    <row r="42" spans="1:19" s="73" customFormat="1" ht="12.75" customHeight="1">
      <c r="A42" s="69" t="s">
        <v>716</v>
      </c>
      <c r="B42" s="70" t="s">
        <v>25</v>
      </c>
      <c r="C42" s="71"/>
      <c r="D42" s="71" t="s">
        <v>66</v>
      </c>
      <c r="E42" s="67">
        <f>ROW(HideValues!B59)</f>
        <v>59</v>
      </c>
      <c r="F42" s="67">
        <f>COLUMN(HideValues!B59)</f>
        <v>2</v>
      </c>
      <c r="G42" s="234">
        <v>59</v>
      </c>
      <c r="H42" s="234">
        <v>2</v>
      </c>
      <c r="I42" s="97" t="s">
        <v>748</v>
      </c>
      <c r="J42" s="97" t="s">
        <v>740</v>
      </c>
      <c r="K42" s="291" t="s">
        <v>753</v>
      </c>
      <c r="L42" s="293" t="s">
        <v>1457</v>
      </c>
      <c r="M42" s="291" t="s">
        <v>1089</v>
      </c>
      <c r="N42" s="291" t="s">
        <v>1276</v>
      </c>
      <c r="O42" s="303">
        <v>23</v>
      </c>
      <c r="P42" s="303" t="s">
        <v>1064</v>
      </c>
      <c r="Q42" s="303" t="s">
        <v>1064</v>
      </c>
      <c r="R42" s="303" t="s">
        <v>1064</v>
      </c>
      <c r="S42" s="303" t="s">
        <v>1064</v>
      </c>
    </row>
    <row r="43" spans="1:19" s="73" customFormat="1" ht="12.75" customHeight="1">
      <c r="A43" s="69" t="s">
        <v>716</v>
      </c>
      <c r="B43" s="70" t="s">
        <v>25</v>
      </c>
      <c r="C43" s="71"/>
      <c r="D43" s="71" t="s">
        <v>66</v>
      </c>
      <c r="E43" s="67">
        <f>ROW(HideValues!B60)</f>
        <v>60</v>
      </c>
      <c r="F43" s="67">
        <f>COLUMN(HideValues!B60)</f>
        <v>2</v>
      </c>
      <c r="G43" s="234">
        <v>60</v>
      </c>
      <c r="H43" s="234">
        <v>2</v>
      </c>
      <c r="I43" s="97" t="s">
        <v>749</v>
      </c>
      <c r="J43" s="97" t="s">
        <v>741</v>
      </c>
      <c r="K43" s="291" t="s">
        <v>754</v>
      </c>
      <c r="L43" s="293" t="s">
        <v>1458</v>
      </c>
      <c r="M43" s="291" t="s">
        <v>1090</v>
      </c>
      <c r="N43" s="291" t="s">
        <v>1277</v>
      </c>
      <c r="O43" s="303">
        <v>24</v>
      </c>
      <c r="P43" s="303" t="s">
        <v>1064</v>
      </c>
      <c r="Q43" s="303" t="s">
        <v>1064</v>
      </c>
      <c r="R43" s="303" t="s">
        <v>1064</v>
      </c>
      <c r="S43" s="303" t="s">
        <v>1064</v>
      </c>
    </row>
    <row r="44" spans="1:19" s="73" customFormat="1" ht="12.75" customHeight="1">
      <c r="A44" s="69" t="s">
        <v>716</v>
      </c>
      <c r="B44" s="70" t="s">
        <v>25</v>
      </c>
      <c r="C44" s="71"/>
      <c r="D44" s="71" t="s">
        <v>66</v>
      </c>
      <c r="E44" s="67">
        <f>ROW(HideValues!B61)</f>
        <v>61</v>
      </c>
      <c r="F44" s="67">
        <f>COLUMN(HideValues!B61)</f>
        <v>2</v>
      </c>
      <c r="G44" s="234">
        <v>61</v>
      </c>
      <c r="H44" s="234">
        <v>2</v>
      </c>
      <c r="I44" s="97" t="s">
        <v>724</v>
      </c>
      <c r="J44" s="97" t="s">
        <v>725</v>
      </c>
      <c r="K44" s="291" t="s">
        <v>727</v>
      </c>
      <c r="L44" s="291" t="s">
        <v>726</v>
      </c>
      <c r="M44" s="291" t="s">
        <v>1091</v>
      </c>
      <c r="N44" s="291" t="s">
        <v>1278</v>
      </c>
      <c r="O44" s="303">
        <v>25</v>
      </c>
      <c r="P44" s="303" t="s">
        <v>1064</v>
      </c>
      <c r="Q44" s="303" t="s">
        <v>1064</v>
      </c>
      <c r="R44" s="303" t="s">
        <v>1064</v>
      </c>
      <c r="S44" s="303" t="s">
        <v>1064</v>
      </c>
    </row>
    <row r="45" spans="1:19" s="73" customFormat="1">
      <c r="A45" s="69" t="s">
        <v>24</v>
      </c>
      <c r="B45" s="70" t="s">
        <v>960</v>
      </c>
      <c r="C45" s="70" t="s">
        <v>961</v>
      </c>
      <c r="D45" s="70" t="s">
        <v>41</v>
      </c>
      <c r="E45" s="67"/>
      <c r="F45" s="67"/>
      <c r="G45" s="231"/>
      <c r="H45" s="231"/>
      <c r="I45" s="69" t="s">
        <v>27</v>
      </c>
      <c r="J45" s="69" t="s">
        <v>232</v>
      </c>
      <c r="K45" s="291" t="s">
        <v>363</v>
      </c>
      <c r="L45" s="291" t="s">
        <v>106</v>
      </c>
      <c r="M45" s="291" t="s">
        <v>1092</v>
      </c>
      <c r="N45" s="291" t="s">
        <v>1279</v>
      </c>
      <c r="O45" s="303">
        <v>26</v>
      </c>
      <c r="P45" s="303" t="s">
        <v>1064</v>
      </c>
      <c r="Q45" s="303" t="s">
        <v>1064</v>
      </c>
      <c r="R45" s="303" t="s">
        <v>1064</v>
      </c>
      <c r="S45" s="303" t="s">
        <v>1064</v>
      </c>
    </row>
    <row r="46" spans="1:19" s="73" customFormat="1">
      <c r="A46" s="69" t="s">
        <v>24</v>
      </c>
      <c r="B46" s="70" t="s">
        <v>960</v>
      </c>
      <c r="C46" s="70" t="s">
        <v>963</v>
      </c>
      <c r="D46" s="70" t="s">
        <v>41</v>
      </c>
      <c r="E46" s="67"/>
      <c r="F46" s="67"/>
      <c r="G46" s="231"/>
      <c r="H46" s="231"/>
      <c r="I46" s="69" t="s">
        <v>26</v>
      </c>
      <c r="J46" s="69" t="s">
        <v>233</v>
      </c>
      <c r="K46" s="291" t="s">
        <v>364</v>
      </c>
      <c r="L46" s="293" t="s">
        <v>1459</v>
      </c>
      <c r="M46" s="291" t="s">
        <v>1093</v>
      </c>
      <c r="N46" s="291" t="s">
        <v>1280</v>
      </c>
      <c r="O46" s="303">
        <v>27</v>
      </c>
      <c r="P46" s="303" t="s">
        <v>1064</v>
      </c>
      <c r="Q46" s="303" t="s">
        <v>1064</v>
      </c>
      <c r="R46" s="303" t="s">
        <v>1064</v>
      </c>
      <c r="S46" s="303" t="s">
        <v>1064</v>
      </c>
    </row>
    <row r="47" spans="1:19" s="73" customFormat="1">
      <c r="A47" s="69" t="s">
        <v>24</v>
      </c>
      <c r="B47" s="70" t="s">
        <v>960</v>
      </c>
      <c r="C47" s="70" t="s">
        <v>965</v>
      </c>
      <c r="D47" s="70" t="s">
        <v>41</v>
      </c>
      <c r="E47" s="67"/>
      <c r="F47" s="67"/>
      <c r="G47" s="231"/>
      <c r="H47" s="231"/>
      <c r="I47" s="69" t="s">
        <v>728</v>
      </c>
      <c r="J47" s="69" t="s">
        <v>729</v>
      </c>
      <c r="K47" s="291" t="s">
        <v>728</v>
      </c>
      <c r="L47" s="291" t="s">
        <v>730</v>
      </c>
      <c r="M47" s="291" t="s">
        <v>1094</v>
      </c>
      <c r="N47" s="291" t="s">
        <v>1281</v>
      </c>
      <c r="O47" s="303">
        <v>28</v>
      </c>
      <c r="P47" s="303" t="s">
        <v>1064</v>
      </c>
      <c r="Q47" s="303" t="s">
        <v>1064</v>
      </c>
      <c r="R47" s="303" t="s">
        <v>1064</v>
      </c>
      <c r="S47" s="303" t="s">
        <v>1064</v>
      </c>
    </row>
    <row r="48" spans="1:19" s="73" customFormat="1">
      <c r="A48" s="69" t="s">
        <v>24</v>
      </c>
      <c r="B48" s="70" t="s">
        <v>960</v>
      </c>
      <c r="C48" s="70" t="s">
        <v>966</v>
      </c>
      <c r="D48" s="70" t="s">
        <v>41</v>
      </c>
      <c r="E48" s="67"/>
      <c r="F48" s="67"/>
      <c r="G48" s="231"/>
      <c r="H48" s="231"/>
      <c r="I48" s="69" t="s">
        <v>28</v>
      </c>
      <c r="J48" s="69" t="s">
        <v>234</v>
      </c>
      <c r="K48" s="291" t="s">
        <v>365</v>
      </c>
      <c r="L48" s="293" t="s">
        <v>28</v>
      </c>
      <c r="M48" s="291" t="s">
        <v>1095</v>
      </c>
      <c r="N48" s="291" t="s">
        <v>28</v>
      </c>
      <c r="O48" s="303">
        <v>29</v>
      </c>
      <c r="P48" s="303" t="s">
        <v>1064</v>
      </c>
      <c r="Q48" s="303" t="s">
        <v>1064</v>
      </c>
      <c r="R48" s="303" t="s">
        <v>1064</v>
      </c>
      <c r="S48" s="303" t="s">
        <v>1064</v>
      </c>
    </row>
    <row r="49" spans="1:19" s="73" customFormat="1">
      <c r="A49" s="69" t="s">
        <v>24</v>
      </c>
      <c r="B49" s="70" t="s">
        <v>960</v>
      </c>
      <c r="C49" s="70" t="s">
        <v>967</v>
      </c>
      <c r="D49" s="70" t="s">
        <v>41</v>
      </c>
      <c r="E49" s="67"/>
      <c r="F49" s="67"/>
      <c r="G49" s="231"/>
      <c r="H49" s="231"/>
      <c r="I49" s="69" t="s">
        <v>29</v>
      </c>
      <c r="J49" s="69" t="s">
        <v>235</v>
      </c>
      <c r="K49" s="291" t="s">
        <v>366</v>
      </c>
      <c r="L49" s="291" t="s">
        <v>88</v>
      </c>
      <c r="M49" s="291" t="s">
        <v>1096</v>
      </c>
      <c r="N49" s="291" t="s">
        <v>1282</v>
      </c>
      <c r="O49" s="303">
        <v>30</v>
      </c>
      <c r="P49" s="303" t="s">
        <v>1064</v>
      </c>
      <c r="Q49" s="303" t="s">
        <v>1064</v>
      </c>
      <c r="R49" s="303" t="s">
        <v>1064</v>
      </c>
      <c r="S49" s="303" t="s">
        <v>1064</v>
      </c>
    </row>
    <row r="50" spans="1:19" s="73" customFormat="1">
      <c r="A50" s="69" t="s">
        <v>24</v>
      </c>
      <c r="B50" s="70" t="s">
        <v>960</v>
      </c>
      <c r="C50" s="70" t="s">
        <v>993</v>
      </c>
      <c r="D50" s="70" t="s">
        <v>41</v>
      </c>
      <c r="E50" s="67"/>
      <c r="F50" s="67"/>
      <c r="G50" s="231"/>
      <c r="H50" s="231"/>
      <c r="I50" s="69" t="s">
        <v>989</v>
      </c>
      <c r="J50" s="69" t="s">
        <v>989</v>
      </c>
      <c r="K50" s="299" t="s">
        <v>989</v>
      </c>
      <c r="L50" s="293" t="s">
        <v>1460</v>
      </c>
      <c r="M50" s="291" t="s">
        <v>989</v>
      </c>
      <c r="N50" s="299" t="s">
        <v>1283</v>
      </c>
      <c r="O50" s="303">
        <v>31</v>
      </c>
      <c r="P50" s="303" t="s">
        <v>1064</v>
      </c>
      <c r="Q50" s="303" t="s">
        <v>1064</v>
      </c>
      <c r="R50" s="303" t="s">
        <v>1064</v>
      </c>
      <c r="S50" s="303" t="s">
        <v>1064</v>
      </c>
    </row>
    <row r="51" spans="1:19" s="73" customFormat="1">
      <c r="A51" s="69" t="s">
        <v>24</v>
      </c>
      <c r="B51" s="70" t="s">
        <v>960</v>
      </c>
      <c r="C51" s="70" t="s">
        <v>972</v>
      </c>
      <c r="D51" s="70" t="s">
        <v>41</v>
      </c>
      <c r="E51" s="67"/>
      <c r="F51" s="67"/>
      <c r="G51" s="231"/>
      <c r="H51" s="231"/>
      <c r="I51" s="69" t="s">
        <v>30</v>
      </c>
      <c r="J51" s="69" t="s">
        <v>223</v>
      </c>
      <c r="K51" s="291" t="s">
        <v>335</v>
      </c>
      <c r="L51" s="75" t="s">
        <v>30</v>
      </c>
      <c r="M51" s="75" t="s">
        <v>30</v>
      </c>
      <c r="N51" s="75" t="s">
        <v>30</v>
      </c>
      <c r="O51" s="290">
        <v>32</v>
      </c>
      <c r="P51" s="303" t="s">
        <v>1064</v>
      </c>
      <c r="Q51" s="303" t="s">
        <v>1064</v>
      </c>
      <c r="R51" s="303" t="s">
        <v>1064</v>
      </c>
      <c r="S51" s="303" t="s">
        <v>1064</v>
      </c>
    </row>
    <row r="52" spans="1:19" s="73" customFormat="1">
      <c r="A52" s="69" t="s">
        <v>24</v>
      </c>
      <c r="B52" s="70" t="s">
        <v>960</v>
      </c>
      <c r="C52" s="70" t="s">
        <v>973</v>
      </c>
      <c r="D52" s="70" t="s">
        <v>41</v>
      </c>
      <c r="E52" s="67"/>
      <c r="F52" s="67"/>
      <c r="G52" s="231"/>
      <c r="H52" s="231"/>
      <c r="I52" s="69" t="s">
        <v>31</v>
      </c>
      <c r="J52" s="69" t="s">
        <v>236</v>
      </c>
      <c r="K52" s="291" t="s">
        <v>336</v>
      </c>
      <c r="L52" s="75" t="s">
        <v>31</v>
      </c>
      <c r="M52" s="75" t="s">
        <v>31</v>
      </c>
      <c r="N52" s="75" t="s">
        <v>31</v>
      </c>
      <c r="O52" s="290">
        <v>33</v>
      </c>
      <c r="P52" s="303" t="s">
        <v>1064</v>
      </c>
      <c r="Q52" s="303" t="s">
        <v>1064</v>
      </c>
      <c r="R52" s="303" t="s">
        <v>1064</v>
      </c>
      <c r="S52" s="303" t="s">
        <v>1064</v>
      </c>
    </row>
    <row r="53" spans="1:19" s="73" customFormat="1">
      <c r="A53" s="69" t="s">
        <v>24</v>
      </c>
      <c r="B53" s="70" t="s">
        <v>960</v>
      </c>
      <c r="C53" s="70" t="s">
        <v>968</v>
      </c>
      <c r="D53" s="70" t="s">
        <v>41</v>
      </c>
      <c r="E53" s="177"/>
      <c r="F53" s="177"/>
      <c r="G53" s="231"/>
      <c r="H53" s="231"/>
      <c r="I53" s="69" t="s">
        <v>32</v>
      </c>
      <c r="J53" s="69" t="s">
        <v>107</v>
      </c>
      <c r="K53" s="291" t="s">
        <v>367</v>
      </c>
      <c r="L53" s="293" t="s">
        <v>1461</v>
      </c>
      <c r="M53" s="291" t="s">
        <v>1097</v>
      </c>
      <c r="N53" s="291" t="s">
        <v>1284</v>
      </c>
      <c r="O53" s="303">
        <v>34</v>
      </c>
      <c r="P53" s="303" t="s">
        <v>1064</v>
      </c>
      <c r="Q53" s="303" t="s">
        <v>1064</v>
      </c>
      <c r="R53" s="303" t="s">
        <v>1064</v>
      </c>
      <c r="S53" s="303" t="s">
        <v>1064</v>
      </c>
    </row>
    <row r="54" spans="1:19" s="73" customFormat="1">
      <c r="A54" s="69" t="s">
        <v>24</v>
      </c>
      <c r="B54" s="70" t="s">
        <v>960</v>
      </c>
      <c r="C54" s="70" t="s">
        <v>969</v>
      </c>
      <c r="D54" s="70" t="s">
        <v>41</v>
      </c>
      <c r="E54" s="177"/>
      <c r="F54" s="177"/>
      <c r="G54" s="231"/>
      <c r="H54" s="231"/>
      <c r="I54" s="69" t="s">
        <v>139</v>
      </c>
      <c r="J54" s="69" t="s">
        <v>237</v>
      </c>
      <c r="K54" s="291" t="s">
        <v>368</v>
      </c>
      <c r="L54" s="293" t="s">
        <v>1462</v>
      </c>
      <c r="M54" s="291" t="s">
        <v>1098</v>
      </c>
      <c r="N54" s="291" t="s">
        <v>1285</v>
      </c>
      <c r="O54" s="303">
        <v>35</v>
      </c>
      <c r="P54" s="303" t="s">
        <v>1064</v>
      </c>
      <c r="Q54" s="303" t="s">
        <v>1064</v>
      </c>
      <c r="R54" s="303" t="s">
        <v>1064</v>
      </c>
      <c r="S54" s="303" t="s">
        <v>1064</v>
      </c>
    </row>
    <row r="55" spans="1:19" s="73" customFormat="1">
      <c r="A55" s="69" t="s">
        <v>24</v>
      </c>
      <c r="B55" s="70" t="s">
        <v>960</v>
      </c>
      <c r="C55" s="70" t="s">
        <v>962</v>
      </c>
      <c r="D55" s="70" t="s">
        <v>41</v>
      </c>
      <c r="E55" s="177"/>
      <c r="F55" s="177"/>
      <c r="G55" s="231"/>
      <c r="H55" s="231"/>
      <c r="I55" s="69" t="s">
        <v>33</v>
      </c>
      <c r="J55" s="69" t="s">
        <v>238</v>
      </c>
      <c r="K55" s="291" t="s">
        <v>369</v>
      </c>
      <c r="L55" s="291" t="s">
        <v>238</v>
      </c>
      <c r="M55" s="291" t="s">
        <v>1099</v>
      </c>
      <c r="N55" s="291" t="s">
        <v>33</v>
      </c>
      <c r="O55" s="303">
        <v>36</v>
      </c>
      <c r="P55" s="303" t="s">
        <v>1064</v>
      </c>
      <c r="Q55" s="303" t="s">
        <v>1064</v>
      </c>
      <c r="R55" s="303" t="s">
        <v>1064</v>
      </c>
      <c r="S55" s="303" t="s">
        <v>1064</v>
      </c>
    </row>
    <row r="56" spans="1:19" s="73" customFormat="1">
      <c r="A56" s="69" t="s">
        <v>24</v>
      </c>
      <c r="B56" s="70" t="s">
        <v>960</v>
      </c>
      <c r="C56" s="70" t="s">
        <v>964</v>
      </c>
      <c r="D56" s="70" t="s">
        <v>41</v>
      </c>
      <c r="E56" s="177"/>
      <c r="F56" s="177"/>
      <c r="G56" s="231"/>
      <c r="H56" s="231"/>
      <c r="I56" s="69" t="s">
        <v>34</v>
      </c>
      <c r="J56" s="69" t="s">
        <v>239</v>
      </c>
      <c r="K56" s="291" t="s">
        <v>337</v>
      </c>
      <c r="L56" s="293" t="s">
        <v>1463</v>
      </c>
      <c r="M56" s="291" t="s">
        <v>1100</v>
      </c>
      <c r="N56" s="291" t="s">
        <v>1279</v>
      </c>
      <c r="O56" s="303">
        <v>37</v>
      </c>
      <c r="P56" s="303" t="s">
        <v>1064</v>
      </c>
      <c r="Q56" s="303" t="s">
        <v>1064</v>
      </c>
      <c r="R56" s="303" t="s">
        <v>1064</v>
      </c>
      <c r="S56" s="303" t="s">
        <v>1064</v>
      </c>
    </row>
    <row r="57" spans="1:19" s="73" customFormat="1">
      <c r="A57" s="69" t="s">
        <v>24</v>
      </c>
      <c r="B57" s="70" t="s">
        <v>960</v>
      </c>
      <c r="C57" s="70" t="s">
        <v>970</v>
      </c>
      <c r="D57" s="70" t="s">
        <v>41</v>
      </c>
      <c r="E57" s="177"/>
      <c r="F57" s="177"/>
      <c r="G57" s="231"/>
      <c r="H57" s="231"/>
      <c r="I57" s="69" t="s">
        <v>35</v>
      </c>
      <c r="J57" s="69" t="s">
        <v>240</v>
      </c>
      <c r="K57" s="291" t="s">
        <v>370</v>
      </c>
      <c r="L57" s="293" t="s">
        <v>1464</v>
      </c>
      <c r="M57" s="291" t="s">
        <v>1101</v>
      </c>
      <c r="N57" s="291" t="s">
        <v>1286</v>
      </c>
      <c r="O57" s="303">
        <v>38</v>
      </c>
      <c r="P57" s="303" t="s">
        <v>1064</v>
      </c>
      <c r="Q57" s="303" t="s">
        <v>1064</v>
      </c>
      <c r="R57" s="303" t="s">
        <v>1064</v>
      </c>
      <c r="S57" s="303" t="s">
        <v>1064</v>
      </c>
    </row>
    <row r="58" spans="1:19" s="73" customFormat="1">
      <c r="A58" s="69" t="s">
        <v>24</v>
      </c>
      <c r="B58" s="70" t="s">
        <v>960</v>
      </c>
      <c r="C58" s="70" t="s">
        <v>974</v>
      </c>
      <c r="D58" s="70" t="s">
        <v>41</v>
      </c>
      <c r="E58" s="177"/>
      <c r="F58" s="177"/>
      <c r="G58" s="231"/>
      <c r="H58" s="231"/>
      <c r="I58" s="75" t="s">
        <v>36</v>
      </c>
      <c r="J58" s="75" t="s">
        <v>241</v>
      </c>
      <c r="K58" s="75" t="s">
        <v>371</v>
      </c>
      <c r="L58" s="75" t="s">
        <v>241</v>
      </c>
      <c r="M58" s="75" t="s">
        <v>36</v>
      </c>
      <c r="N58" s="75" t="s">
        <v>36</v>
      </c>
      <c r="O58" s="290">
        <v>39</v>
      </c>
      <c r="P58" s="303" t="s">
        <v>1064</v>
      </c>
      <c r="Q58" s="303" t="s">
        <v>1064</v>
      </c>
      <c r="R58" s="303" t="s">
        <v>1064</v>
      </c>
      <c r="S58" s="303" t="s">
        <v>1064</v>
      </c>
    </row>
    <row r="59" spans="1:19" s="73" customFormat="1">
      <c r="A59" s="69" t="s">
        <v>24</v>
      </c>
      <c r="B59" s="70" t="s">
        <v>960</v>
      </c>
      <c r="C59" s="70" t="s">
        <v>971</v>
      </c>
      <c r="D59" s="70" t="s">
        <v>41</v>
      </c>
      <c r="E59" s="177"/>
      <c r="F59" s="177"/>
      <c r="G59" s="231"/>
      <c r="H59" s="231"/>
      <c r="I59" s="69" t="s">
        <v>37</v>
      </c>
      <c r="J59" s="69" t="s">
        <v>242</v>
      </c>
      <c r="K59" s="291" t="s">
        <v>372</v>
      </c>
      <c r="L59" s="291" t="s">
        <v>243</v>
      </c>
      <c r="M59" s="291" t="s">
        <v>1102</v>
      </c>
      <c r="N59" s="291" t="s">
        <v>1287</v>
      </c>
      <c r="O59" s="303">
        <v>40</v>
      </c>
      <c r="P59" s="303" t="s">
        <v>1064</v>
      </c>
      <c r="Q59" s="303" t="s">
        <v>1064</v>
      </c>
      <c r="R59" s="303" t="s">
        <v>1064</v>
      </c>
      <c r="S59" s="303" t="s">
        <v>1064</v>
      </c>
    </row>
    <row r="60" spans="1:19" s="73" customFormat="1">
      <c r="A60" s="69" t="s">
        <v>24</v>
      </c>
      <c r="B60" s="70" t="s">
        <v>960</v>
      </c>
      <c r="C60" s="70" t="s">
        <v>975</v>
      </c>
      <c r="D60" s="70" t="s">
        <v>41</v>
      </c>
      <c r="E60" s="177"/>
      <c r="F60" s="177"/>
      <c r="G60" s="231"/>
      <c r="H60" s="231"/>
      <c r="I60" s="69" t="s">
        <v>455</v>
      </c>
      <c r="J60" s="69" t="s">
        <v>453</v>
      </c>
      <c r="K60" s="303" t="s">
        <v>1563</v>
      </c>
      <c r="L60" s="293" t="s">
        <v>1465</v>
      </c>
      <c r="M60" s="291" t="s">
        <v>1103</v>
      </c>
      <c r="N60" s="291" t="s">
        <v>1288</v>
      </c>
      <c r="O60" s="303">
        <v>41</v>
      </c>
      <c r="P60" s="303" t="s">
        <v>1064</v>
      </c>
      <c r="Q60" s="303" t="s">
        <v>1064</v>
      </c>
      <c r="R60" s="303" t="s">
        <v>1064</v>
      </c>
      <c r="S60" s="303" t="s">
        <v>1064</v>
      </c>
    </row>
    <row r="61" spans="1:19" s="73" customFormat="1">
      <c r="A61" s="69" t="s">
        <v>24</v>
      </c>
      <c r="B61" s="70" t="s">
        <v>960</v>
      </c>
      <c r="C61" s="70" t="s">
        <v>976</v>
      </c>
      <c r="D61" s="70" t="s">
        <v>41</v>
      </c>
      <c r="E61" s="177"/>
      <c r="F61" s="177"/>
      <c r="G61" s="231"/>
      <c r="H61" s="231"/>
      <c r="I61" s="69" t="s">
        <v>456</v>
      </c>
      <c r="J61" s="69" t="s">
        <v>454</v>
      </c>
      <c r="K61" s="303" t="s">
        <v>1104</v>
      </c>
      <c r="L61" s="293" t="s">
        <v>1466</v>
      </c>
      <c r="M61" s="291" t="s">
        <v>1104</v>
      </c>
      <c r="N61" s="291" t="s">
        <v>1289</v>
      </c>
      <c r="O61" s="303">
        <v>42</v>
      </c>
      <c r="P61" s="303" t="s">
        <v>1064</v>
      </c>
      <c r="Q61" s="303" t="s">
        <v>1064</v>
      </c>
      <c r="R61" s="303" t="s">
        <v>1064</v>
      </c>
      <c r="S61" s="303" t="s">
        <v>1064</v>
      </c>
    </row>
    <row r="62" spans="1:19" s="73" customFormat="1" ht="25.5">
      <c r="A62" s="69" t="s">
        <v>395</v>
      </c>
      <c r="B62" s="70" t="s">
        <v>960</v>
      </c>
      <c r="C62" s="70" t="s">
        <v>977</v>
      </c>
      <c r="D62" s="70" t="s">
        <v>41</v>
      </c>
      <c r="E62" s="67"/>
      <c r="F62" s="67"/>
      <c r="G62" s="231"/>
      <c r="H62" s="231"/>
      <c r="I62" s="104" t="str">
        <f t="shared" ref="I62:L63" si="0">I48</f>
        <v>Start</v>
      </c>
      <c r="J62" s="104" t="str">
        <f t="shared" si="0"/>
        <v>Début</v>
      </c>
      <c r="K62" s="104" t="str">
        <f t="shared" si="0"/>
        <v>Comienzo</v>
      </c>
      <c r="L62" s="104" t="str">
        <f t="shared" si="0"/>
        <v>Start</v>
      </c>
      <c r="M62" s="104" t="str">
        <f t="shared" ref="M62:N62" si="1">M48</f>
        <v>Iniciar</v>
      </c>
      <c r="N62" s="104" t="str">
        <f t="shared" si="1"/>
        <v>Start</v>
      </c>
      <c r="O62" s="290">
        <v>43</v>
      </c>
      <c r="P62" s="303" t="s">
        <v>1064</v>
      </c>
      <c r="Q62" s="303" t="s">
        <v>1064</v>
      </c>
      <c r="R62" s="303" t="s">
        <v>1064</v>
      </c>
      <c r="S62" s="303" t="s">
        <v>1064</v>
      </c>
    </row>
    <row r="63" spans="1:19" s="73" customFormat="1" ht="25.5">
      <c r="A63" s="69" t="s">
        <v>395</v>
      </c>
      <c r="B63" s="70" t="s">
        <v>960</v>
      </c>
      <c r="C63" s="70" t="s">
        <v>978</v>
      </c>
      <c r="D63" s="70" t="s">
        <v>41</v>
      </c>
      <c r="E63" s="67"/>
      <c r="F63" s="67"/>
      <c r="G63" s="231"/>
      <c r="H63" s="231"/>
      <c r="I63" s="104" t="str">
        <f t="shared" si="0"/>
        <v>Duration</v>
      </c>
      <c r="J63" s="104" t="str">
        <f t="shared" si="0"/>
        <v>Durée</v>
      </c>
      <c r="K63" s="104" t="str">
        <f t="shared" si="0"/>
        <v>Duración</v>
      </c>
      <c r="L63" s="104" t="str">
        <f t="shared" si="0"/>
        <v>Dauer</v>
      </c>
      <c r="M63" s="104" t="str">
        <f t="shared" ref="M63:N63" si="2">M49</f>
        <v>Duração</v>
      </c>
      <c r="N63" s="104" t="str">
        <f t="shared" si="2"/>
        <v>Duur</v>
      </c>
      <c r="O63" s="290">
        <v>44</v>
      </c>
      <c r="P63" s="303" t="s">
        <v>1064</v>
      </c>
      <c r="Q63" s="303" t="s">
        <v>1064</v>
      </c>
      <c r="R63" s="303" t="s">
        <v>1064</v>
      </c>
      <c r="S63" s="303" t="s">
        <v>1064</v>
      </c>
    </row>
    <row r="64" spans="1:19" s="73" customFormat="1" ht="25.5">
      <c r="A64" s="69" t="s">
        <v>395</v>
      </c>
      <c r="B64" s="70" t="s">
        <v>960</v>
      </c>
      <c r="C64" s="70" t="s">
        <v>986</v>
      </c>
      <c r="D64" s="70" t="s">
        <v>41</v>
      </c>
      <c r="E64" s="67"/>
      <c r="F64" s="67"/>
      <c r="G64" s="231"/>
      <c r="H64" s="231"/>
      <c r="I64" s="104" t="str">
        <f t="shared" ref="I64:L67" si="3">I51</f>
        <v>W.Day</v>
      </c>
      <c r="J64" s="104" t="str">
        <f t="shared" si="3"/>
        <v>Jours ouvrés</v>
      </c>
      <c r="K64" s="104" t="str">
        <f t="shared" si="3"/>
        <v>Los días hábiles</v>
      </c>
      <c r="L64" s="104" t="str">
        <f t="shared" si="3"/>
        <v>W.Day</v>
      </c>
      <c r="M64" s="104" t="str">
        <f t="shared" ref="M64:N64" si="4">M51</f>
        <v>W.Day</v>
      </c>
      <c r="N64" s="104" t="str">
        <f t="shared" si="4"/>
        <v>W.Day</v>
      </c>
      <c r="O64" s="290">
        <v>45</v>
      </c>
      <c r="P64" s="303" t="s">
        <v>1064</v>
      </c>
      <c r="Q64" s="303" t="s">
        <v>1064</v>
      </c>
      <c r="R64" s="303" t="s">
        <v>1064</v>
      </c>
      <c r="S64" s="303" t="s">
        <v>1064</v>
      </c>
    </row>
    <row r="65" spans="1:19" s="73" customFormat="1" ht="25.5">
      <c r="A65" s="69" t="s">
        <v>395</v>
      </c>
      <c r="B65" s="70" t="s">
        <v>960</v>
      </c>
      <c r="C65" s="70" t="s">
        <v>987</v>
      </c>
      <c r="D65" s="70" t="s">
        <v>41</v>
      </c>
      <c r="E65" s="67"/>
      <c r="F65" s="67"/>
      <c r="G65" s="231"/>
      <c r="H65" s="231"/>
      <c r="I65" s="104" t="str">
        <f t="shared" si="3"/>
        <v>All.Days</v>
      </c>
      <c r="J65" s="104" t="str">
        <f t="shared" si="3"/>
        <v>Normal</v>
      </c>
      <c r="K65" s="104" t="str">
        <f t="shared" si="3"/>
        <v>Todos los Días</v>
      </c>
      <c r="L65" s="104" t="str">
        <f t="shared" si="3"/>
        <v>All.Days</v>
      </c>
      <c r="M65" s="104" t="str">
        <f t="shared" ref="M65:N65" si="5">M52</f>
        <v>All.Days</v>
      </c>
      <c r="N65" s="104" t="str">
        <f t="shared" si="5"/>
        <v>All.Days</v>
      </c>
      <c r="O65" s="290">
        <v>46</v>
      </c>
      <c r="P65" s="303" t="s">
        <v>1064</v>
      </c>
      <c r="Q65" s="303" t="s">
        <v>1064</v>
      </c>
      <c r="R65" s="303" t="s">
        <v>1064</v>
      </c>
      <c r="S65" s="303" t="s">
        <v>1064</v>
      </c>
    </row>
    <row r="66" spans="1:19" s="73" customFormat="1" ht="25.5">
      <c r="A66" s="69" t="s">
        <v>395</v>
      </c>
      <c r="B66" s="70" t="s">
        <v>960</v>
      </c>
      <c r="C66" s="70" t="s">
        <v>979</v>
      </c>
      <c r="D66" s="70" t="s">
        <v>41</v>
      </c>
      <c r="E66" s="67"/>
      <c r="F66" s="67"/>
      <c r="G66" s="231"/>
      <c r="H66" s="231"/>
      <c r="I66" s="104" t="str">
        <f t="shared" si="3"/>
        <v>Due</v>
      </c>
      <c r="J66" s="104" t="str">
        <f t="shared" si="3"/>
        <v>Échéance</v>
      </c>
      <c r="K66" s="104" t="str">
        <f t="shared" si="3"/>
        <v xml:space="preserve">Terminación </v>
      </c>
      <c r="L66" s="104" t="str">
        <f t="shared" si="3"/>
        <v>Fällig</v>
      </c>
      <c r="M66" s="104" t="str">
        <f t="shared" ref="M66:N66" si="6">M53</f>
        <v>Previsão</v>
      </c>
      <c r="N66" s="104" t="str">
        <f t="shared" si="6"/>
        <v>Vervaldatum</v>
      </c>
      <c r="O66" s="290">
        <v>47</v>
      </c>
      <c r="P66" s="303" t="s">
        <v>1064</v>
      </c>
      <c r="Q66" s="303" t="s">
        <v>1064</v>
      </c>
      <c r="R66" s="303" t="s">
        <v>1064</v>
      </c>
      <c r="S66" s="303" t="s">
        <v>1064</v>
      </c>
    </row>
    <row r="67" spans="1:19" s="73" customFormat="1" ht="25.5">
      <c r="A67" s="69" t="s">
        <v>395</v>
      </c>
      <c r="B67" s="70" t="s">
        <v>960</v>
      </c>
      <c r="C67" s="70" t="s">
        <v>980</v>
      </c>
      <c r="D67" s="70" t="s">
        <v>41</v>
      </c>
      <c r="E67" s="67"/>
      <c r="F67" s="67"/>
      <c r="G67" s="231"/>
      <c r="H67" s="231"/>
      <c r="I67" s="104" t="str">
        <f t="shared" si="3"/>
        <v>Progress</v>
      </c>
      <c r="J67" s="104" t="str">
        <f t="shared" si="3"/>
        <v>Statut</v>
      </c>
      <c r="K67" s="104" t="str">
        <f t="shared" si="3"/>
        <v>Estado</v>
      </c>
      <c r="L67" s="104" t="str">
        <f t="shared" si="3"/>
        <v>Fortschritt</v>
      </c>
      <c r="M67" s="104" t="str">
        <f t="shared" ref="M67:N67" si="7">M54</f>
        <v>Progresso</v>
      </c>
      <c r="N67" s="104" t="str">
        <f t="shared" si="7"/>
        <v>Voortgang</v>
      </c>
      <c r="O67" s="290">
        <v>48</v>
      </c>
      <c r="P67" s="303" t="s">
        <v>1064</v>
      </c>
      <c r="Q67" s="303" t="s">
        <v>1064</v>
      </c>
      <c r="R67" s="303" t="s">
        <v>1064</v>
      </c>
      <c r="S67" s="303" t="s">
        <v>1064</v>
      </c>
    </row>
    <row r="68" spans="1:19" s="73" customFormat="1" ht="25.5">
      <c r="A68" s="69" t="s">
        <v>395</v>
      </c>
      <c r="B68" s="70" t="s">
        <v>960</v>
      </c>
      <c r="C68" s="70" t="s">
        <v>981</v>
      </c>
      <c r="D68" s="70" t="s">
        <v>41</v>
      </c>
      <c r="E68" s="67"/>
      <c r="F68" s="67"/>
      <c r="G68" s="231"/>
      <c r="H68" s="231"/>
      <c r="I68" s="104" t="str">
        <f t="shared" ref="I68:L69" si="8">I56</f>
        <v>Plan</v>
      </c>
      <c r="J68" s="104" t="str">
        <f t="shared" si="8"/>
        <v>Estim.</v>
      </c>
      <c r="K68" s="104" t="str">
        <f t="shared" si="8"/>
        <v>Estimado</v>
      </c>
      <c r="L68" s="104" t="str">
        <f t="shared" si="8"/>
        <v>Abonnement</v>
      </c>
      <c r="M68" s="104" t="str">
        <f t="shared" ref="M68:N68" si="9">M56</f>
        <v>Planejar</v>
      </c>
      <c r="N68" s="104" t="str">
        <f t="shared" si="9"/>
        <v>Schema</v>
      </c>
      <c r="O68" s="290">
        <v>49</v>
      </c>
      <c r="P68" s="303" t="s">
        <v>1064</v>
      </c>
      <c r="Q68" s="303" t="s">
        <v>1064</v>
      </c>
      <c r="R68" s="303" t="s">
        <v>1064</v>
      </c>
      <c r="S68" s="303" t="s">
        <v>1064</v>
      </c>
    </row>
    <row r="69" spans="1:19" s="73" customFormat="1" ht="25.5">
      <c r="A69" s="69" t="s">
        <v>395</v>
      </c>
      <c r="B69" s="70" t="s">
        <v>960</v>
      </c>
      <c r="C69" s="70" t="s">
        <v>982</v>
      </c>
      <c r="D69" s="70" t="s">
        <v>41</v>
      </c>
      <c r="E69" s="67"/>
      <c r="F69" s="67"/>
      <c r="G69" s="231"/>
      <c r="H69" s="231"/>
      <c r="I69" s="104" t="str">
        <f t="shared" si="8"/>
        <v>Actual</v>
      </c>
      <c r="J69" s="104" t="str">
        <f t="shared" si="8"/>
        <v>Réel</v>
      </c>
      <c r="K69" s="104" t="str">
        <f t="shared" si="8"/>
        <v>Real</v>
      </c>
      <c r="L69" s="104" t="str">
        <f t="shared" si="8"/>
        <v>Aktuell</v>
      </c>
      <c r="M69" s="104" t="str">
        <f t="shared" ref="M69:N69" si="10">M57</f>
        <v>Atual</v>
      </c>
      <c r="N69" s="104" t="str">
        <f t="shared" si="10"/>
        <v>Actuele</v>
      </c>
      <c r="O69" s="290">
        <v>50</v>
      </c>
      <c r="P69" s="303" t="s">
        <v>1064</v>
      </c>
      <c r="Q69" s="303" t="s">
        <v>1064</v>
      </c>
      <c r="R69" s="303" t="s">
        <v>1064</v>
      </c>
      <c r="S69" s="303" t="s">
        <v>1064</v>
      </c>
    </row>
    <row r="70" spans="1:19" s="73" customFormat="1" ht="25.5">
      <c r="A70" s="69" t="s">
        <v>395</v>
      </c>
      <c r="B70" s="70" t="s">
        <v>960</v>
      </c>
      <c r="C70" s="70" t="s">
        <v>983</v>
      </c>
      <c r="D70" s="70" t="s">
        <v>41</v>
      </c>
      <c r="E70" s="67"/>
      <c r="F70" s="67"/>
      <c r="G70" s="231"/>
      <c r="H70" s="231"/>
      <c r="I70" s="104" t="str">
        <f t="shared" ref="I70:N70" si="11">I59</f>
        <v>Comments</v>
      </c>
      <c r="J70" s="104" t="str">
        <f t="shared" si="11"/>
        <v>Commentaires</v>
      </c>
      <c r="K70" s="104" t="str">
        <f t="shared" si="11"/>
        <v>Comentarios</v>
      </c>
      <c r="L70" s="104" t="str">
        <f t="shared" si="11"/>
        <v>Kommentare</v>
      </c>
      <c r="M70" s="104" t="str">
        <f t="shared" si="11"/>
        <v>Comentários</v>
      </c>
      <c r="N70" s="104" t="str">
        <f t="shared" si="11"/>
        <v>Opmerkingen</v>
      </c>
      <c r="O70" s="290">
        <v>51</v>
      </c>
      <c r="P70" s="303" t="s">
        <v>1064</v>
      </c>
      <c r="Q70" s="303" t="s">
        <v>1064</v>
      </c>
      <c r="R70" s="303" t="s">
        <v>1064</v>
      </c>
      <c r="S70" s="303" t="s">
        <v>1064</v>
      </c>
    </row>
    <row r="71" spans="1:19" s="73" customFormat="1" ht="25.5">
      <c r="A71" s="69" t="s">
        <v>395</v>
      </c>
      <c r="B71" s="70" t="s">
        <v>960</v>
      </c>
      <c r="C71" s="70" t="s">
        <v>984</v>
      </c>
      <c r="D71" s="70" t="s">
        <v>41</v>
      </c>
      <c r="E71" s="67"/>
      <c r="F71" s="67"/>
      <c r="G71" s="231"/>
      <c r="H71" s="231"/>
      <c r="I71" s="104" t="str">
        <f t="shared" ref="I71:L72" si="12">I46</f>
        <v>Leader</v>
      </c>
      <c r="J71" s="104" t="str">
        <f t="shared" si="12"/>
        <v>Resp.</v>
      </c>
      <c r="K71" s="104" t="str">
        <f t="shared" si="12"/>
        <v>Líder</v>
      </c>
      <c r="L71" s="104" t="str">
        <f t="shared" si="12"/>
        <v>Leiter</v>
      </c>
      <c r="M71" s="104" t="str">
        <f t="shared" ref="M71:N71" si="13">M46</f>
        <v>Líder</v>
      </c>
      <c r="N71" s="104" t="str">
        <f t="shared" si="13"/>
        <v>Leider</v>
      </c>
      <c r="O71" s="290">
        <v>52</v>
      </c>
      <c r="P71" s="303" t="s">
        <v>1064</v>
      </c>
      <c r="Q71" s="303" t="s">
        <v>1064</v>
      </c>
      <c r="R71" s="303" t="s">
        <v>1064</v>
      </c>
      <c r="S71" s="303" t="s">
        <v>1064</v>
      </c>
    </row>
    <row r="72" spans="1:19" s="73" customFormat="1" ht="25.5">
      <c r="A72" s="69" t="s">
        <v>395</v>
      </c>
      <c r="B72" s="70" t="s">
        <v>960</v>
      </c>
      <c r="C72" s="70" t="s">
        <v>985</v>
      </c>
      <c r="D72" s="70" t="s">
        <v>41</v>
      </c>
      <c r="E72" s="67"/>
      <c r="F72" s="67"/>
      <c r="G72" s="231"/>
      <c r="H72" s="231"/>
      <c r="I72" s="104" t="str">
        <f t="shared" si="12"/>
        <v>Color</v>
      </c>
      <c r="J72" s="104" t="str">
        <f t="shared" si="12"/>
        <v>Couleurs</v>
      </c>
      <c r="K72" s="104" t="str">
        <f t="shared" si="12"/>
        <v>Color</v>
      </c>
      <c r="L72" s="104" t="str">
        <f t="shared" si="12"/>
        <v>Farbe</v>
      </c>
      <c r="M72" s="104" t="str">
        <f t="shared" ref="M72:N72" si="14">M47</f>
        <v>Cor</v>
      </c>
      <c r="N72" s="104" t="str">
        <f t="shared" si="14"/>
        <v>Kleur</v>
      </c>
      <c r="O72" s="290">
        <v>53</v>
      </c>
      <c r="P72" s="303" t="s">
        <v>1064</v>
      </c>
      <c r="Q72" s="303" t="s">
        <v>1064</v>
      </c>
      <c r="R72" s="303" t="s">
        <v>1064</v>
      </c>
      <c r="S72" s="303" t="s">
        <v>1064</v>
      </c>
    </row>
    <row r="73" spans="1:19" s="103" customFormat="1">
      <c r="A73" s="69" t="s">
        <v>994</v>
      </c>
      <c r="B73" s="70" t="s">
        <v>960</v>
      </c>
      <c r="C73" s="70" t="s">
        <v>995</v>
      </c>
      <c r="D73" s="71" t="s">
        <v>66</v>
      </c>
      <c r="E73" s="67"/>
      <c r="F73" s="67"/>
      <c r="G73" s="231"/>
      <c r="H73" s="231"/>
      <c r="I73" s="105" t="s">
        <v>988</v>
      </c>
      <c r="J73" s="105" t="s">
        <v>998</v>
      </c>
      <c r="K73" s="293" t="s">
        <v>988</v>
      </c>
      <c r="L73" s="293" t="s">
        <v>1000</v>
      </c>
      <c r="M73" s="105" t="s">
        <v>988</v>
      </c>
      <c r="N73" s="293" t="s">
        <v>988</v>
      </c>
      <c r="O73" s="290">
        <v>54</v>
      </c>
      <c r="P73" s="303" t="s">
        <v>1064</v>
      </c>
      <c r="Q73" s="303" t="s">
        <v>1064</v>
      </c>
      <c r="R73" s="303" t="s">
        <v>1064</v>
      </c>
      <c r="S73" s="303" t="s">
        <v>1064</v>
      </c>
    </row>
    <row r="74" spans="1:19" s="103" customFormat="1">
      <c r="A74" s="69" t="s">
        <v>994</v>
      </c>
      <c r="B74" s="70" t="s">
        <v>960</v>
      </c>
      <c r="C74" s="70" t="s">
        <v>997</v>
      </c>
      <c r="D74" s="71" t="s">
        <v>66</v>
      </c>
      <c r="E74" s="67"/>
      <c r="F74" s="67"/>
      <c r="G74" s="231"/>
      <c r="H74" s="231"/>
      <c r="I74" s="105" t="s">
        <v>990</v>
      </c>
      <c r="J74" s="105" t="s">
        <v>999</v>
      </c>
      <c r="K74" s="293" t="s">
        <v>999</v>
      </c>
      <c r="L74" s="293" t="s">
        <v>990</v>
      </c>
      <c r="M74" s="105" t="s">
        <v>990</v>
      </c>
      <c r="N74" s="293" t="s">
        <v>999</v>
      </c>
      <c r="O74" s="290">
        <v>55</v>
      </c>
      <c r="P74" s="303" t="s">
        <v>1064</v>
      </c>
      <c r="Q74" s="303" t="s">
        <v>1064</v>
      </c>
      <c r="R74" s="303" t="s">
        <v>1064</v>
      </c>
      <c r="S74" s="303" t="s">
        <v>1064</v>
      </c>
    </row>
    <row r="75" spans="1:19" s="103" customFormat="1">
      <c r="A75" s="69" t="s">
        <v>994</v>
      </c>
      <c r="B75" s="70" t="s">
        <v>960</v>
      </c>
      <c r="C75" s="70" t="s">
        <v>996</v>
      </c>
      <c r="D75" s="71" t="s">
        <v>66</v>
      </c>
      <c r="E75" s="67"/>
      <c r="F75" s="67"/>
      <c r="G75" s="231"/>
      <c r="H75" s="231"/>
      <c r="I75" s="105" t="s">
        <v>991</v>
      </c>
      <c r="J75" s="105" t="s">
        <v>991</v>
      </c>
      <c r="K75" s="293" t="s">
        <v>991</v>
      </c>
      <c r="L75" s="293" t="s">
        <v>991</v>
      </c>
      <c r="M75" s="105" t="s">
        <v>991</v>
      </c>
      <c r="N75" s="293" t="s">
        <v>991</v>
      </c>
      <c r="O75" s="290">
        <v>56</v>
      </c>
      <c r="P75" s="303" t="s">
        <v>1064</v>
      </c>
      <c r="Q75" s="303" t="s">
        <v>1064</v>
      </c>
      <c r="R75" s="303" t="s">
        <v>1064</v>
      </c>
      <c r="S75" s="303" t="s">
        <v>1064</v>
      </c>
    </row>
    <row r="76" spans="1:19" s="103" customFormat="1">
      <c r="A76" s="106" t="s">
        <v>24</v>
      </c>
      <c r="B76" s="70" t="s">
        <v>960</v>
      </c>
      <c r="C76" s="70" t="s">
        <v>1002</v>
      </c>
      <c r="D76" s="70" t="s">
        <v>41</v>
      </c>
      <c r="E76" s="67"/>
      <c r="F76" s="67"/>
      <c r="G76" s="231"/>
      <c r="H76" s="231"/>
      <c r="I76" s="105" t="s">
        <v>1005</v>
      </c>
      <c r="J76" s="105" t="s">
        <v>1006</v>
      </c>
      <c r="K76" s="303" t="s">
        <v>1564</v>
      </c>
      <c r="L76" s="293" t="s">
        <v>1467</v>
      </c>
      <c r="M76" s="291" t="s">
        <v>1105</v>
      </c>
      <c r="N76" s="293" t="s">
        <v>1290</v>
      </c>
      <c r="O76" s="303">
        <v>57</v>
      </c>
      <c r="P76" s="303" t="s">
        <v>1064</v>
      </c>
      <c r="Q76" s="303" t="s">
        <v>1064</v>
      </c>
      <c r="R76" s="303" t="s">
        <v>1064</v>
      </c>
      <c r="S76" s="303" t="s">
        <v>1064</v>
      </c>
    </row>
    <row r="77" spans="1:19" s="103" customFormat="1" ht="25.5">
      <c r="A77" s="106" t="s">
        <v>1001</v>
      </c>
      <c r="B77" s="70" t="s">
        <v>960</v>
      </c>
      <c r="C77" s="70" t="s">
        <v>1003</v>
      </c>
      <c r="D77" s="70" t="s">
        <v>41</v>
      </c>
      <c r="E77" s="67"/>
      <c r="F77" s="67"/>
      <c r="G77" s="231"/>
      <c r="H77" s="231"/>
      <c r="I77" s="104" t="str">
        <f>I76</f>
        <v>Task Level</v>
      </c>
      <c r="J77" s="104" t="str">
        <f t="shared" ref="J77:L77" si="15">J76</f>
        <v>Niv. Taches</v>
      </c>
      <c r="K77" s="104" t="str">
        <f t="shared" si="15"/>
        <v>Nivel de tareas</v>
      </c>
      <c r="L77" s="104" t="str">
        <f t="shared" si="15"/>
        <v>Task-Ebene</v>
      </c>
      <c r="M77" s="104" t="str">
        <f t="shared" ref="M77:N77" si="16">M76</f>
        <v>Nível da Tarefa</v>
      </c>
      <c r="N77" s="104" t="str">
        <f t="shared" si="16"/>
        <v>Taakniveau</v>
      </c>
      <c r="O77" s="290">
        <v>58</v>
      </c>
      <c r="P77" s="303" t="s">
        <v>1064</v>
      </c>
      <c r="Q77" s="303" t="s">
        <v>1064</v>
      </c>
      <c r="R77" s="303" t="s">
        <v>1064</v>
      </c>
      <c r="S77" s="303" t="s">
        <v>1064</v>
      </c>
    </row>
    <row r="78" spans="1:19" s="103" customFormat="1" ht="25.5">
      <c r="A78" s="106" t="s">
        <v>1001</v>
      </c>
      <c r="B78" s="70" t="s">
        <v>960</v>
      </c>
      <c r="C78" s="70" t="s">
        <v>1004</v>
      </c>
      <c r="D78" s="70" t="s">
        <v>41</v>
      </c>
      <c r="E78" s="67"/>
      <c r="F78" s="67"/>
      <c r="G78" s="231"/>
      <c r="H78" s="231"/>
      <c r="I78" s="104" t="str">
        <f>I50</f>
        <v>Recal. Dur.</v>
      </c>
      <c r="J78" s="104" t="str">
        <f t="shared" ref="J78:L78" si="17">J50</f>
        <v>Recal. Dur.</v>
      </c>
      <c r="K78" s="104" t="str">
        <f t="shared" si="17"/>
        <v>Recal. Dur.</v>
      </c>
      <c r="L78" s="104" t="str">
        <f t="shared" si="17"/>
        <v>Rückrufe Dauer</v>
      </c>
      <c r="M78" s="104" t="str">
        <f t="shared" ref="M78:N78" si="18">M50</f>
        <v>Recal. Dur.</v>
      </c>
      <c r="N78" s="104" t="str">
        <f t="shared" si="18"/>
        <v>Duur herberekenen</v>
      </c>
      <c r="O78" s="290">
        <v>59</v>
      </c>
      <c r="P78" s="303" t="s">
        <v>1064</v>
      </c>
      <c r="Q78" s="303" t="s">
        <v>1064</v>
      </c>
      <c r="R78" s="303" t="s">
        <v>1064</v>
      </c>
      <c r="S78" s="303" t="s">
        <v>1064</v>
      </c>
    </row>
    <row r="79" spans="1:19" s="73" customFormat="1" ht="12.75" customHeight="1">
      <c r="A79" s="69" t="s">
        <v>24</v>
      </c>
      <c r="B79" s="70" t="s">
        <v>217</v>
      </c>
      <c r="C79" s="70" t="s">
        <v>51</v>
      </c>
      <c r="D79" s="70" t="s">
        <v>41</v>
      </c>
      <c r="E79" s="71"/>
      <c r="F79" s="71"/>
      <c r="G79" s="231"/>
      <c r="H79" s="231"/>
      <c r="I79" s="69" t="s">
        <v>332</v>
      </c>
      <c r="J79" s="69" t="s">
        <v>244</v>
      </c>
      <c r="K79" s="291" t="s">
        <v>373</v>
      </c>
      <c r="L79" s="293" t="s">
        <v>1468</v>
      </c>
      <c r="M79" s="291" t="s">
        <v>1106</v>
      </c>
      <c r="N79" s="291" t="s">
        <v>1291</v>
      </c>
      <c r="O79" s="303">
        <v>60</v>
      </c>
      <c r="P79" s="303" t="s">
        <v>1064</v>
      </c>
      <c r="Q79" s="303" t="s">
        <v>1064</v>
      </c>
      <c r="R79" s="303" t="s">
        <v>1064</v>
      </c>
      <c r="S79" s="303" t="s">
        <v>1064</v>
      </c>
    </row>
    <row r="80" spans="1:19" s="73" customFormat="1" ht="12.75" customHeight="1">
      <c r="A80" s="69" t="s">
        <v>24</v>
      </c>
      <c r="B80" s="70" t="s">
        <v>217</v>
      </c>
      <c r="C80" s="70" t="s">
        <v>245</v>
      </c>
      <c r="D80" s="70" t="s">
        <v>41</v>
      </c>
      <c r="E80" s="71"/>
      <c r="F80" s="71"/>
      <c r="G80" s="231"/>
      <c r="H80" s="231"/>
      <c r="I80" s="69" t="s">
        <v>38</v>
      </c>
      <c r="J80" s="69" t="s">
        <v>246</v>
      </c>
      <c r="K80" s="291" t="s">
        <v>338</v>
      </c>
      <c r="L80" s="293" t="s">
        <v>1469</v>
      </c>
      <c r="M80" s="291" t="s">
        <v>1107</v>
      </c>
      <c r="N80" s="291" t="s">
        <v>1292</v>
      </c>
      <c r="O80" s="303">
        <v>61</v>
      </c>
      <c r="P80" s="303" t="s">
        <v>1064</v>
      </c>
      <c r="Q80" s="303" t="s">
        <v>1064</v>
      </c>
      <c r="R80" s="303" t="s">
        <v>1064</v>
      </c>
      <c r="S80" s="303" t="s">
        <v>1064</v>
      </c>
    </row>
    <row r="81" spans="1:19" s="73" customFormat="1" ht="12.75" customHeight="1">
      <c r="A81" s="69" t="s">
        <v>956</v>
      </c>
      <c r="B81" s="70" t="s">
        <v>217</v>
      </c>
      <c r="C81" s="70" t="s">
        <v>39</v>
      </c>
      <c r="D81" s="70" t="s">
        <v>41</v>
      </c>
      <c r="E81" s="71"/>
      <c r="F81" s="71"/>
      <c r="G81" s="231"/>
      <c r="H81" s="231"/>
      <c r="I81" s="69" t="s">
        <v>52</v>
      </c>
      <c r="J81" s="69" t="s">
        <v>247</v>
      </c>
      <c r="K81" s="291" t="s">
        <v>374</v>
      </c>
      <c r="L81" s="293" t="s">
        <v>1470</v>
      </c>
      <c r="M81" s="291" t="s">
        <v>1108</v>
      </c>
      <c r="N81" s="291" t="s">
        <v>1293</v>
      </c>
      <c r="O81" s="303">
        <v>62</v>
      </c>
      <c r="P81" s="303" t="s">
        <v>1064</v>
      </c>
      <c r="Q81" s="303" t="s">
        <v>1064</v>
      </c>
      <c r="R81" s="303" t="s">
        <v>1064</v>
      </c>
      <c r="S81" s="303" t="s">
        <v>1064</v>
      </c>
    </row>
    <row r="82" spans="1:19" s="73" customFormat="1" ht="12.75" customHeight="1">
      <c r="A82" s="69" t="s">
        <v>956</v>
      </c>
      <c r="B82" s="70" t="s">
        <v>217</v>
      </c>
      <c r="C82" s="70" t="s">
        <v>249</v>
      </c>
      <c r="D82" s="70" t="s">
        <v>41</v>
      </c>
      <c r="E82" s="71"/>
      <c r="F82" s="71"/>
      <c r="G82" s="231"/>
      <c r="H82" s="231"/>
      <c r="I82" s="69" t="s">
        <v>250</v>
      </c>
      <c r="J82" s="69" t="s">
        <v>251</v>
      </c>
      <c r="K82" s="291" t="s">
        <v>375</v>
      </c>
      <c r="L82" s="291" t="s">
        <v>96</v>
      </c>
      <c r="M82" s="291" t="s">
        <v>1109</v>
      </c>
      <c r="N82" s="291" t="s">
        <v>1294</v>
      </c>
      <c r="O82" s="303">
        <v>63</v>
      </c>
      <c r="P82" s="303" t="s">
        <v>1064</v>
      </c>
      <c r="Q82" s="303" t="s">
        <v>1064</v>
      </c>
      <c r="R82" s="303" t="s">
        <v>1064</v>
      </c>
      <c r="S82" s="303" t="s">
        <v>1064</v>
      </c>
    </row>
    <row r="83" spans="1:19" s="73" customFormat="1" ht="12.75" customHeight="1">
      <c r="A83" s="69" t="s">
        <v>957</v>
      </c>
      <c r="B83" s="70" t="s">
        <v>217</v>
      </c>
      <c r="C83" s="70" t="s">
        <v>40</v>
      </c>
      <c r="D83" s="70" t="s">
        <v>41</v>
      </c>
      <c r="E83" s="71"/>
      <c r="F83" s="71"/>
      <c r="G83" s="231"/>
      <c r="H83" s="231"/>
      <c r="I83" s="69" t="s">
        <v>945</v>
      </c>
      <c r="J83" s="69" t="s">
        <v>946</v>
      </c>
      <c r="K83" s="303" t="s">
        <v>1565</v>
      </c>
      <c r="L83" s="291" t="s">
        <v>947</v>
      </c>
      <c r="M83" s="291" t="s">
        <v>1110</v>
      </c>
      <c r="N83" s="291" t="s">
        <v>1295</v>
      </c>
      <c r="O83" s="303">
        <v>64</v>
      </c>
      <c r="P83" s="303" t="s">
        <v>1064</v>
      </c>
      <c r="Q83" s="303" t="s">
        <v>1064</v>
      </c>
      <c r="R83" s="303" t="s">
        <v>1064</v>
      </c>
      <c r="S83" s="303" t="s">
        <v>1064</v>
      </c>
    </row>
    <row r="84" spans="1:19" s="73" customFormat="1" ht="12.75" customHeight="1">
      <c r="A84" s="69" t="s">
        <v>957</v>
      </c>
      <c r="B84" s="70" t="s">
        <v>217</v>
      </c>
      <c r="C84" s="70" t="s">
        <v>941</v>
      </c>
      <c r="D84" s="70" t="s">
        <v>41</v>
      </c>
      <c r="E84" s="71"/>
      <c r="F84" s="71"/>
      <c r="G84" s="231"/>
      <c r="H84" s="231"/>
      <c r="I84" s="69" t="s">
        <v>470</v>
      </c>
      <c r="J84" s="69" t="s">
        <v>252</v>
      </c>
      <c r="K84" s="291" t="s">
        <v>663</v>
      </c>
      <c r="L84" s="293" t="s">
        <v>789</v>
      </c>
      <c r="M84" s="291" t="s">
        <v>1111</v>
      </c>
      <c r="N84" s="291" t="s">
        <v>1296</v>
      </c>
      <c r="O84" s="303">
        <v>65</v>
      </c>
      <c r="P84" s="303" t="s">
        <v>1064</v>
      </c>
      <c r="Q84" s="303" t="s">
        <v>1064</v>
      </c>
      <c r="R84" s="303" t="s">
        <v>1064</v>
      </c>
      <c r="S84" s="303" t="s">
        <v>1064</v>
      </c>
    </row>
    <row r="85" spans="1:19" s="73" customFormat="1" ht="12.75" customHeight="1">
      <c r="A85" s="69" t="s">
        <v>957</v>
      </c>
      <c r="B85" s="70" t="s">
        <v>217</v>
      </c>
      <c r="C85" s="70" t="s">
        <v>942</v>
      </c>
      <c r="D85" s="70" t="s">
        <v>41</v>
      </c>
      <c r="E85" s="71"/>
      <c r="F85" s="71"/>
      <c r="G85" s="231"/>
      <c r="H85" s="231"/>
      <c r="I85" s="69" t="s">
        <v>566</v>
      </c>
      <c r="J85" s="69" t="s">
        <v>944</v>
      </c>
      <c r="K85" s="291" t="s">
        <v>662</v>
      </c>
      <c r="L85" s="293" t="s">
        <v>790</v>
      </c>
      <c r="M85" s="291" t="s">
        <v>662</v>
      </c>
      <c r="N85" s="291" t="s">
        <v>1297</v>
      </c>
      <c r="O85" s="303">
        <v>66</v>
      </c>
      <c r="P85" s="303" t="s">
        <v>1064</v>
      </c>
      <c r="Q85" s="303" t="s">
        <v>1064</v>
      </c>
      <c r="R85" s="303" t="s">
        <v>1064</v>
      </c>
      <c r="S85" s="303" t="s">
        <v>1064</v>
      </c>
    </row>
    <row r="86" spans="1:19" s="73" customFormat="1" ht="12.75" customHeight="1">
      <c r="A86" s="69" t="s">
        <v>957</v>
      </c>
      <c r="B86" s="70" t="s">
        <v>217</v>
      </c>
      <c r="C86" s="70" t="s">
        <v>943</v>
      </c>
      <c r="D86" s="70" t="s">
        <v>41</v>
      </c>
      <c r="E86" s="71"/>
      <c r="F86" s="71"/>
      <c r="G86" s="231"/>
      <c r="H86" s="231"/>
      <c r="I86" s="69" t="s">
        <v>567</v>
      </c>
      <c r="J86" s="69" t="s">
        <v>393</v>
      </c>
      <c r="K86" s="291" t="s">
        <v>661</v>
      </c>
      <c r="L86" s="293" t="s">
        <v>394</v>
      </c>
      <c r="M86" s="291" t="s">
        <v>1112</v>
      </c>
      <c r="N86" s="291" t="s">
        <v>1298</v>
      </c>
      <c r="O86" s="303">
        <v>67</v>
      </c>
      <c r="P86" s="303" t="s">
        <v>1064</v>
      </c>
      <c r="Q86" s="303" t="s">
        <v>1064</v>
      </c>
      <c r="R86" s="303" t="s">
        <v>1064</v>
      </c>
      <c r="S86" s="303" t="s">
        <v>1064</v>
      </c>
    </row>
    <row r="87" spans="1:19" s="73" customFormat="1" ht="12.75" customHeight="1">
      <c r="A87" s="69" t="s">
        <v>65</v>
      </c>
      <c r="B87" s="70" t="s">
        <v>217</v>
      </c>
      <c r="C87" s="70" t="s">
        <v>64</v>
      </c>
      <c r="D87" s="70" t="s">
        <v>41</v>
      </c>
      <c r="E87" s="67"/>
      <c r="F87" s="71"/>
      <c r="G87" s="231"/>
      <c r="H87" s="231"/>
      <c r="I87" s="69" t="s">
        <v>65</v>
      </c>
      <c r="J87" s="69" t="s">
        <v>253</v>
      </c>
      <c r="K87" s="291" t="s">
        <v>376</v>
      </c>
      <c r="L87" s="293" t="s">
        <v>1471</v>
      </c>
      <c r="M87" s="291" t="s">
        <v>1113</v>
      </c>
      <c r="N87" s="291" t="s">
        <v>1299</v>
      </c>
      <c r="O87" s="303">
        <v>68</v>
      </c>
      <c r="P87" s="303" t="s">
        <v>1064</v>
      </c>
      <c r="Q87" s="303" t="s">
        <v>1064</v>
      </c>
      <c r="R87" s="303" t="s">
        <v>1064</v>
      </c>
      <c r="S87" s="303" t="s">
        <v>1064</v>
      </c>
    </row>
    <row r="88" spans="1:19" s="73" customFormat="1" ht="12.75" customHeight="1">
      <c r="A88" s="69" t="s">
        <v>43</v>
      </c>
      <c r="B88" s="70" t="s">
        <v>25</v>
      </c>
      <c r="C88" s="71"/>
      <c r="D88" s="70" t="s">
        <v>42</v>
      </c>
      <c r="E88" s="67">
        <f>ROW(Tools!$B$9)</f>
        <v>9</v>
      </c>
      <c r="F88" s="67">
        <f>COLUMN(Tools!$B$9)</f>
        <v>2</v>
      </c>
      <c r="G88" s="231">
        <v>9</v>
      </c>
      <c r="H88" s="231">
        <v>2</v>
      </c>
      <c r="I88" s="74" t="s">
        <v>688</v>
      </c>
      <c r="J88" s="74" t="s">
        <v>687</v>
      </c>
      <c r="K88" s="293" t="s">
        <v>342</v>
      </c>
      <c r="L88" s="293" t="s">
        <v>1472</v>
      </c>
      <c r="M88" s="291" t="s">
        <v>1114</v>
      </c>
      <c r="N88" s="293" t="s">
        <v>1300</v>
      </c>
      <c r="O88" s="303">
        <v>70</v>
      </c>
      <c r="P88" s="303" t="s">
        <v>1064</v>
      </c>
      <c r="Q88" s="303" t="s">
        <v>1064</v>
      </c>
      <c r="R88" s="303" t="s">
        <v>1064</v>
      </c>
      <c r="S88" s="303" t="s">
        <v>1064</v>
      </c>
    </row>
    <row r="89" spans="1:19" s="73" customFormat="1" ht="12.75" customHeight="1">
      <c r="A89" s="69" t="s">
        <v>44</v>
      </c>
      <c r="B89" s="70" t="s">
        <v>25</v>
      </c>
      <c r="C89" s="71"/>
      <c r="D89" s="70" t="s">
        <v>42</v>
      </c>
      <c r="E89" s="67">
        <f>ROW(Tools!$D$9)</f>
        <v>9</v>
      </c>
      <c r="F89" s="67">
        <f>COLUMN(Tools!$D$9)</f>
        <v>4</v>
      </c>
      <c r="G89" s="231">
        <v>9</v>
      </c>
      <c r="H89" s="231">
        <v>4</v>
      </c>
      <c r="I89" s="74" t="s">
        <v>54</v>
      </c>
      <c r="J89" s="74" t="s">
        <v>256</v>
      </c>
      <c r="K89" s="293" t="s">
        <v>377</v>
      </c>
      <c r="L89" s="293" t="s">
        <v>1473</v>
      </c>
      <c r="M89" s="291" t="s">
        <v>1115</v>
      </c>
      <c r="N89" s="293" t="s">
        <v>1301</v>
      </c>
      <c r="O89" s="303">
        <v>71</v>
      </c>
      <c r="P89" s="303" t="s">
        <v>1064</v>
      </c>
      <c r="Q89" s="303" t="s">
        <v>1064</v>
      </c>
      <c r="R89" s="303" t="s">
        <v>1064</v>
      </c>
      <c r="S89" s="303" t="s">
        <v>1064</v>
      </c>
    </row>
    <row r="90" spans="1:19" s="73" customFormat="1" ht="12.75" customHeight="1">
      <c r="A90" s="69" t="s">
        <v>44</v>
      </c>
      <c r="B90" s="70" t="s">
        <v>25</v>
      </c>
      <c r="C90" s="71"/>
      <c r="D90" s="70" t="s">
        <v>42</v>
      </c>
      <c r="E90" s="67">
        <f>ROW(Tools!$D$10)</f>
        <v>10</v>
      </c>
      <c r="F90" s="67">
        <f>COLUMN(Tools!$D$10)</f>
        <v>4</v>
      </c>
      <c r="G90" s="231">
        <v>10</v>
      </c>
      <c r="H90" s="231">
        <v>4</v>
      </c>
      <c r="I90" s="74" t="s">
        <v>55</v>
      </c>
      <c r="J90" s="74" t="s">
        <v>257</v>
      </c>
      <c r="K90" s="293" t="s">
        <v>343</v>
      </c>
      <c r="L90" s="293" t="s">
        <v>1474</v>
      </c>
      <c r="M90" s="291" t="s">
        <v>1116</v>
      </c>
      <c r="N90" s="293" t="s">
        <v>1302</v>
      </c>
      <c r="O90" s="303">
        <v>72</v>
      </c>
      <c r="P90" s="303" t="s">
        <v>1064</v>
      </c>
      <c r="Q90" s="303" t="s">
        <v>1064</v>
      </c>
      <c r="R90" s="303" t="s">
        <v>1064</v>
      </c>
      <c r="S90" s="303" t="s">
        <v>1064</v>
      </c>
    </row>
    <row r="91" spans="1:19" s="73" customFormat="1" ht="12.75" customHeight="1">
      <c r="A91" s="69" t="s">
        <v>44</v>
      </c>
      <c r="B91" s="70" t="s">
        <v>25</v>
      </c>
      <c r="C91" s="71"/>
      <c r="D91" s="70" t="s">
        <v>42</v>
      </c>
      <c r="E91" s="67">
        <f>ROW(Tools!$E$10)</f>
        <v>10</v>
      </c>
      <c r="F91" s="67">
        <f>COLUMN(Tools!$E$10)</f>
        <v>5</v>
      </c>
      <c r="G91" s="231">
        <v>10</v>
      </c>
      <c r="H91" s="231">
        <v>5</v>
      </c>
      <c r="I91" s="74" t="s">
        <v>56</v>
      </c>
      <c r="J91" s="74" t="s">
        <v>258</v>
      </c>
      <c r="K91" s="293" t="s">
        <v>344</v>
      </c>
      <c r="L91" s="293" t="s">
        <v>90</v>
      </c>
      <c r="M91" s="291" t="s">
        <v>1117</v>
      </c>
      <c r="N91" s="293" t="s">
        <v>1303</v>
      </c>
      <c r="O91" s="303">
        <v>73</v>
      </c>
      <c r="P91" s="303" t="s">
        <v>1064</v>
      </c>
      <c r="Q91" s="303" t="s">
        <v>1064</v>
      </c>
      <c r="R91" s="303" t="s">
        <v>1064</v>
      </c>
      <c r="S91" s="303" t="s">
        <v>1064</v>
      </c>
    </row>
    <row r="92" spans="1:19" s="73" customFormat="1" ht="12.75" customHeight="1">
      <c r="A92" s="69" t="s">
        <v>44</v>
      </c>
      <c r="B92" s="70" t="s">
        <v>25</v>
      </c>
      <c r="C92" s="71"/>
      <c r="D92" s="70" t="s">
        <v>42</v>
      </c>
      <c r="E92" s="67">
        <f>ROW(Tools!$F$10)</f>
        <v>10</v>
      </c>
      <c r="F92" s="67">
        <f>COLUMN(Tools!$F$10)</f>
        <v>6</v>
      </c>
      <c r="G92" s="231">
        <v>10</v>
      </c>
      <c r="H92" s="231">
        <v>6</v>
      </c>
      <c r="I92" s="74" t="s">
        <v>57</v>
      </c>
      <c r="J92" s="74" t="s">
        <v>259</v>
      </c>
      <c r="K92" s="293" t="s">
        <v>345</v>
      </c>
      <c r="L92" s="293" t="s">
        <v>1475</v>
      </c>
      <c r="M92" s="291" t="s">
        <v>345</v>
      </c>
      <c r="N92" s="293" t="s">
        <v>1304</v>
      </c>
      <c r="O92" s="303">
        <v>74</v>
      </c>
      <c r="P92" s="303" t="s">
        <v>1064</v>
      </c>
      <c r="Q92" s="303" t="s">
        <v>1064</v>
      </c>
      <c r="R92" s="303" t="s">
        <v>1064</v>
      </c>
      <c r="S92" s="303" t="s">
        <v>1064</v>
      </c>
    </row>
    <row r="93" spans="1:19" s="73" customFormat="1" ht="12.75" customHeight="1">
      <c r="A93" s="69" t="s">
        <v>44</v>
      </c>
      <c r="B93" s="70" t="s">
        <v>25</v>
      </c>
      <c r="C93" s="71"/>
      <c r="D93" s="70" t="s">
        <v>42</v>
      </c>
      <c r="E93" s="67">
        <f>ROW(Tools!$G$10)</f>
        <v>10</v>
      </c>
      <c r="F93" s="67">
        <f>COLUMN(Tools!$G$10)</f>
        <v>7</v>
      </c>
      <c r="G93" s="231">
        <v>10</v>
      </c>
      <c r="H93" s="231">
        <v>7</v>
      </c>
      <c r="I93" s="74" t="s">
        <v>58</v>
      </c>
      <c r="J93" s="74" t="s">
        <v>260</v>
      </c>
      <c r="K93" s="293" t="s">
        <v>378</v>
      </c>
      <c r="L93" s="293" t="s">
        <v>1476</v>
      </c>
      <c r="M93" s="291" t="s">
        <v>1118</v>
      </c>
      <c r="N93" s="293" t="s">
        <v>1305</v>
      </c>
      <c r="O93" s="303">
        <v>75</v>
      </c>
      <c r="P93" s="303" t="s">
        <v>1064</v>
      </c>
      <c r="Q93" s="303" t="s">
        <v>1064</v>
      </c>
      <c r="R93" s="303" t="s">
        <v>1064</v>
      </c>
      <c r="S93" s="303" t="s">
        <v>1064</v>
      </c>
    </row>
    <row r="94" spans="1:19" s="73" customFormat="1" ht="12.75" customHeight="1">
      <c r="A94" s="69" t="s">
        <v>44</v>
      </c>
      <c r="B94" s="70" t="s">
        <v>25</v>
      </c>
      <c r="C94" s="71"/>
      <c r="D94" s="70" t="s">
        <v>42</v>
      </c>
      <c r="E94" s="67">
        <f>ROW(Tools!$I$10)</f>
        <v>10</v>
      </c>
      <c r="F94" s="67">
        <f>COLUMN(Tools!$I$10)</f>
        <v>9</v>
      </c>
      <c r="G94" s="231">
        <v>10</v>
      </c>
      <c r="H94" s="231">
        <v>9</v>
      </c>
      <c r="I94" s="74" t="s">
        <v>59</v>
      </c>
      <c r="J94" s="74" t="s">
        <v>261</v>
      </c>
      <c r="K94" s="293" t="s">
        <v>379</v>
      </c>
      <c r="L94" s="293" t="s">
        <v>91</v>
      </c>
      <c r="M94" s="291" t="s">
        <v>1119</v>
      </c>
      <c r="N94" s="293" t="s">
        <v>1306</v>
      </c>
      <c r="O94" s="303">
        <v>76</v>
      </c>
      <c r="P94" s="303" t="s">
        <v>1064</v>
      </c>
      <c r="Q94" s="303" t="s">
        <v>1064</v>
      </c>
      <c r="R94" s="303" t="s">
        <v>1064</v>
      </c>
      <c r="S94" s="303" t="s">
        <v>1064</v>
      </c>
    </row>
    <row r="95" spans="1:19" s="73" customFormat="1" ht="12.75" customHeight="1">
      <c r="A95" s="69" t="s">
        <v>44</v>
      </c>
      <c r="B95" s="70" t="s">
        <v>25</v>
      </c>
      <c r="C95" s="71"/>
      <c r="D95" s="70" t="s">
        <v>42</v>
      </c>
      <c r="E95" s="67">
        <f>ROW(Tools!$J$10)</f>
        <v>10</v>
      </c>
      <c r="F95" s="67">
        <f>COLUMN(Tools!$J$10)</f>
        <v>10</v>
      </c>
      <c r="G95" s="231">
        <v>10</v>
      </c>
      <c r="H95" s="231">
        <v>10</v>
      </c>
      <c r="I95" s="104" t="str">
        <f t="shared" ref="I95:N95" si="19">I47</f>
        <v>Color</v>
      </c>
      <c r="J95" s="104" t="str">
        <f t="shared" si="19"/>
        <v>Couleurs</v>
      </c>
      <c r="K95" s="104" t="str">
        <f t="shared" si="19"/>
        <v>Color</v>
      </c>
      <c r="L95" s="104" t="str">
        <f t="shared" si="19"/>
        <v>Farbe</v>
      </c>
      <c r="M95" s="104" t="str">
        <f t="shared" si="19"/>
        <v>Cor</v>
      </c>
      <c r="N95" s="104" t="str">
        <f t="shared" si="19"/>
        <v>Kleur</v>
      </c>
      <c r="O95" s="290">
        <v>77</v>
      </c>
      <c r="P95" s="303" t="s">
        <v>1064</v>
      </c>
      <c r="Q95" s="303" t="s">
        <v>1064</v>
      </c>
      <c r="R95" s="303" t="s">
        <v>1064</v>
      </c>
      <c r="S95" s="303" t="s">
        <v>1064</v>
      </c>
    </row>
    <row r="96" spans="1:19" s="73" customFormat="1" ht="25.5" customHeight="1">
      <c r="A96" s="69" t="s">
        <v>76</v>
      </c>
      <c r="B96" s="70" t="s">
        <v>25</v>
      </c>
      <c r="C96" s="71"/>
      <c r="D96" s="71" t="s">
        <v>66</v>
      </c>
      <c r="E96" s="67">
        <f>ROW(HideValues!$B8)</f>
        <v>8</v>
      </c>
      <c r="F96" s="67">
        <f>COLUMN(HideValues!$B8)</f>
        <v>2</v>
      </c>
      <c r="G96" s="231">
        <v>8</v>
      </c>
      <c r="H96" s="231">
        <v>2</v>
      </c>
      <c r="I96" s="69" t="s">
        <v>67</v>
      </c>
      <c r="J96" s="69" t="s">
        <v>262</v>
      </c>
      <c r="K96" s="291" t="s">
        <v>380</v>
      </c>
      <c r="L96" s="291" t="s">
        <v>263</v>
      </c>
      <c r="M96" s="291" t="s">
        <v>1120</v>
      </c>
      <c r="N96" s="291" t="s">
        <v>1307</v>
      </c>
      <c r="O96" s="303">
        <v>78</v>
      </c>
      <c r="P96" s="303" t="s">
        <v>1064</v>
      </c>
      <c r="Q96" s="303" t="s">
        <v>1064</v>
      </c>
      <c r="R96" s="303" t="s">
        <v>1064</v>
      </c>
      <c r="S96" s="303" t="s">
        <v>1064</v>
      </c>
    </row>
    <row r="97" spans="1:19" s="73" customFormat="1" ht="25.5" customHeight="1">
      <c r="A97" s="69" t="s">
        <v>76</v>
      </c>
      <c r="B97" s="70" t="s">
        <v>25</v>
      </c>
      <c r="C97" s="71"/>
      <c r="D97" s="71" t="s">
        <v>66</v>
      </c>
      <c r="E97" s="67">
        <f>ROW(HideValues!$B9)</f>
        <v>9</v>
      </c>
      <c r="F97" s="67">
        <f>COLUMN(HideValues!$B9)</f>
        <v>2</v>
      </c>
      <c r="G97" s="231">
        <v>9</v>
      </c>
      <c r="H97" s="231">
        <v>2</v>
      </c>
      <c r="I97" s="69" t="s">
        <v>68</v>
      </c>
      <c r="J97" s="69" t="s">
        <v>264</v>
      </c>
      <c r="K97" s="291" t="s">
        <v>381</v>
      </c>
      <c r="L97" s="291" t="s">
        <v>265</v>
      </c>
      <c r="M97" s="291" t="s">
        <v>1121</v>
      </c>
      <c r="N97" s="291" t="s">
        <v>1308</v>
      </c>
      <c r="O97" s="303">
        <v>79</v>
      </c>
      <c r="P97" s="303" t="s">
        <v>1064</v>
      </c>
      <c r="Q97" s="303" t="s">
        <v>1064</v>
      </c>
      <c r="R97" s="303" t="s">
        <v>1064</v>
      </c>
      <c r="S97" s="303" t="s">
        <v>1064</v>
      </c>
    </row>
    <row r="98" spans="1:19" s="73" customFormat="1" ht="25.5" customHeight="1">
      <c r="A98" s="69" t="s">
        <v>76</v>
      </c>
      <c r="B98" s="70" t="s">
        <v>25</v>
      </c>
      <c r="C98" s="71"/>
      <c r="D98" s="71" t="s">
        <v>66</v>
      </c>
      <c r="E98" s="67">
        <f>ROW(HideValues!$B10)</f>
        <v>10</v>
      </c>
      <c r="F98" s="67">
        <f>COLUMN(HideValues!$B10)</f>
        <v>2</v>
      </c>
      <c r="G98" s="231">
        <v>10</v>
      </c>
      <c r="H98" s="231">
        <v>2</v>
      </c>
      <c r="I98" s="69" t="s">
        <v>69</v>
      </c>
      <c r="J98" s="69" t="s">
        <v>266</v>
      </c>
      <c r="K98" s="291" t="s">
        <v>382</v>
      </c>
      <c r="L98" s="291" t="s">
        <v>267</v>
      </c>
      <c r="M98" s="291" t="s">
        <v>1122</v>
      </c>
      <c r="N98" s="291" t="s">
        <v>1309</v>
      </c>
      <c r="O98" s="303">
        <v>80</v>
      </c>
      <c r="P98" s="303" t="s">
        <v>1064</v>
      </c>
      <c r="Q98" s="303" t="s">
        <v>1064</v>
      </c>
      <c r="R98" s="303" t="s">
        <v>1064</v>
      </c>
      <c r="S98" s="303" t="s">
        <v>1064</v>
      </c>
    </row>
    <row r="99" spans="1:19" s="73" customFormat="1" ht="25.5" customHeight="1">
      <c r="A99" s="69" t="s">
        <v>76</v>
      </c>
      <c r="B99" s="70" t="s">
        <v>25</v>
      </c>
      <c r="C99" s="71"/>
      <c r="D99" s="71" t="s">
        <v>66</v>
      </c>
      <c r="E99" s="67">
        <f>ROW(HideValues!$B11)</f>
        <v>11</v>
      </c>
      <c r="F99" s="67">
        <f>COLUMN(HideValues!$B11)</f>
        <v>2</v>
      </c>
      <c r="G99" s="231">
        <v>11</v>
      </c>
      <c r="H99" s="231">
        <v>2</v>
      </c>
      <c r="I99" s="69" t="s">
        <v>70</v>
      </c>
      <c r="J99" s="69" t="s">
        <v>268</v>
      </c>
      <c r="K99" s="291" t="s">
        <v>383</v>
      </c>
      <c r="L99" s="291" t="s">
        <v>269</v>
      </c>
      <c r="M99" s="291" t="s">
        <v>1123</v>
      </c>
      <c r="N99" s="291" t="s">
        <v>70</v>
      </c>
      <c r="O99" s="303">
        <v>81</v>
      </c>
      <c r="P99" s="303" t="s">
        <v>1064</v>
      </c>
      <c r="Q99" s="303" t="s">
        <v>1064</v>
      </c>
      <c r="R99" s="303" t="s">
        <v>1064</v>
      </c>
      <c r="S99" s="303" t="s">
        <v>1064</v>
      </c>
    </row>
    <row r="100" spans="1:19" s="73" customFormat="1" ht="25.5" customHeight="1">
      <c r="A100" s="69" t="s">
        <v>76</v>
      </c>
      <c r="B100" s="70" t="s">
        <v>25</v>
      </c>
      <c r="C100" s="71"/>
      <c r="D100" s="71" t="s">
        <v>66</v>
      </c>
      <c r="E100" s="67">
        <f>ROW(HideValues!$B12)</f>
        <v>12</v>
      </c>
      <c r="F100" s="67">
        <f>COLUMN(HideValues!$B12)</f>
        <v>2</v>
      </c>
      <c r="G100" s="231">
        <v>12</v>
      </c>
      <c r="H100" s="231">
        <v>2</v>
      </c>
      <c r="I100" s="69" t="s">
        <v>71</v>
      </c>
      <c r="J100" s="69" t="s">
        <v>270</v>
      </c>
      <c r="K100" s="291" t="s">
        <v>384</v>
      </c>
      <c r="L100" s="291" t="s">
        <v>270</v>
      </c>
      <c r="M100" s="291" t="s">
        <v>1124</v>
      </c>
      <c r="N100" s="291" t="s">
        <v>1310</v>
      </c>
      <c r="O100" s="303">
        <v>82</v>
      </c>
      <c r="P100" s="303" t="s">
        <v>1064</v>
      </c>
      <c r="Q100" s="303" t="s">
        <v>1064</v>
      </c>
      <c r="R100" s="303" t="s">
        <v>1064</v>
      </c>
      <c r="S100" s="303" t="s">
        <v>1064</v>
      </c>
    </row>
    <row r="101" spans="1:19" s="73" customFormat="1" ht="25.5" customHeight="1">
      <c r="A101" s="69" t="s">
        <v>76</v>
      </c>
      <c r="B101" s="70" t="s">
        <v>25</v>
      </c>
      <c r="C101" s="71"/>
      <c r="D101" s="71" t="s">
        <v>66</v>
      </c>
      <c r="E101" s="67">
        <f>ROW(HideValues!$B13)</f>
        <v>13</v>
      </c>
      <c r="F101" s="67">
        <f>COLUMN(HideValues!$B13)</f>
        <v>2</v>
      </c>
      <c r="G101" s="231">
        <v>13</v>
      </c>
      <c r="H101" s="231">
        <v>2</v>
      </c>
      <c r="I101" s="69" t="s">
        <v>72</v>
      </c>
      <c r="J101" s="69" t="s">
        <v>271</v>
      </c>
      <c r="K101" s="291" t="s">
        <v>385</v>
      </c>
      <c r="L101" s="291" t="s">
        <v>272</v>
      </c>
      <c r="M101" s="291" t="s">
        <v>1125</v>
      </c>
      <c r="N101" s="291" t="s">
        <v>1311</v>
      </c>
      <c r="O101" s="303">
        <v>83</v>
      </c>
      <c r="P101" s="303" t="s">
        <v>1064</v>
      </c>
      <c r="Q101" s="303" t="s">
        <v>1064</v>
      </c>
      <c r="R101" s="303" t="s">
        <v>1064</v>
      </c>
      <c r="S101" s="303" t="s">
        <v>1064</v>
      </c>
    </row>
    <row r="102" spans="1:19" s="73" customFormat="1" ht="25.5" customHeight="1">
      <c r="A102" s="69" t="s">
        <v>76</v>
      </c>
      <c r="B102" s="70" t="s">
        <v>25</v>
      </c>
      <c r="C102" s="71"/>
      <c r="D102" s="71" t="s">
        <v>66</v>
      </c>
      <c r="E102" s="67">
        <f>ROW(HideValues!$B14)</f>
        <v>14</v>
      </c>
      <c r="F102" s="67">
        <f>COLUMN(HideValues!$B14)</f>
        <v>2</v>
      </c>
      <c r="G102" s="231">
        <v>14</v>
      </c>
      <c r="H102" s="231">
        <v>2</v>
      </c>
      <c r="I102" s="69" t="s">
        <v>73</v>
      </c>
      <c r="J102" s="69" t="s">
        <v>273</v>
      </c>
      <c r="K102" s="291" t="s">
        <v>386</v>
      </c>
      <c r="L102" s="291" t="s">
        <v>274</v>
      </c>
      <c r="M102" s="291" t="s">
        <v>1126</v>
      </c>
      <c r="N102" s="291" t="s">
        <v>1312</v>
      </c>
      <c r="O102" s="303">
        <v>84</v>
      </c>
      <c r="P102" s="303" t="s">
        <v>1064</v>
      </c>
      <c r="Q102" s="303" t="s">
        <v>1064</v>
      </c>
      <c r="R102" s="303" t="s">
        <v>1064</v>
      </c>
      <c r="S102" s="303" t="s">
        <v>1064</v>
      </c>
    </row>
    <row r="103" spans="1:19" s="73" customFormat="1" ht="25.5" customHeight="1">
      <c r="A103" s="69" t="s">
        <v>76</v>
      </c>
      <c r="B103" s="70" t="s">
        <v>25</v>
      </c>
      <c r="C103" s="71"/>
      <c r="D103" s="71" t="s">
        <v>66</v>
      </c>
      <c r="E103" s="67">
        <f>ROW(HideValues!$B15)</f>
        <v>15</v>
      </c>
      <c r="F103" s="67">
        <f>COLUMN(HideValues!$B15)</f>
        <v>2</v>
      </c>
      <c r="G103" s="231">
        <v>15</v>
      </c>
      <c r="H103" s="231">
        <v>2</v>
      </c>
      <c r="I103" s="69" t="s">
        <v>6</v>
      </c>
      <c r="J103" s="69" t="s">
        <v>275</v>
      </c>
      <c r="K103" s="291" t="s">
        <v>387</v>
      </c>
      <c r="L103" s="291" t="s">
        <v>276</v>
      </c>
      <c r="M103" s="291" t="s">
        <v>1127</v>
      </c>
      <c r="N103" s="291" t="s">
        <v>1313</v>
      </c>
      <c r="O103" s="303">
        <v>85</v>
      </c>
      <c r="P103" s="303" t="s">
        <v>1064</v>
      </c>
      <c r="Q103" s="303" t="s">
        <v>1064</v>
      </c>
      <c r="R103" s="303" t="s">
        <v>1064</v>
      </c>
      <c r="S103" s="303" t="s">
        <v>1064</v>
      </c>
    </row>
    <row r="104" spans="1:19" s="73" customFormat="1" ht="25.5" customHeight="1">
      <c r="A104" s="69" t="s">
        <v>76</v>
      </c>
      <c r="B104" s="70" t="s">
        <v>25</v>
      </c>
      <c r="C104" s="71"/>
      <c r="D104" s="71" t="s">
        <v>66</v>
      </c>
      <c r="E104" s="67">
        <f>ROW(HideValues!$B16)</f>
        <v>16</v>
      </c>
      <c r="F104" s="67">
        <f>COLUMN(HideValues!$B16)</f>
        <v>2</v>
      </c>
      <c r="G104" s="231">
        <v>16</v>
      </c>
      <c r="H104" s="231">
        <v>2</v>
      </c>
      <c r="I104" s="69" t="s">
        <v>74</v>
      </c>
      <c r="J104" s="69" t="s">
        <v>277</v>
      </c>
      <c r="K104" s="291" t="s">
        <v>388</v>
      </c>
      <c r="L104" s="291" t="s">
        <v>278</v>
      </c>
      <c r="M104" s="291" t="s">
        <v>1128</v>
      </c>
      <c r="N104" s="291" t="s">
        <v>74</v>
      </c>
      <c r="O104" s="303">
        <v>86</v>
      </c>
      <c r="P104" s="303" t="s">
        <v>1064</v>
      </c>
      <c r="Q104" s="303" t="s">
        <v>1064</v>
      </c>
      <c r="R104" s="303" t="s">
        <v>1064</v>
      </c>
      <c r="S104" s="303" t="s">
        <v>1064</v>
      </c>
    </row>
    <row r="105" spans="1:19" s="73" customFormat="1" ht="25.5" customHeight="1">
      <c r="A105" s="69" t="s">
        <v>76</v>
      </c>
      <c r="B105" s="70" t="s">
        <v>25</v>
      </c>
      <c r="C105" s="71"/>
      <c r="D105" s="71" t="s">
        <v>66</v>
      </c>
      <c r="E105" s="67">
        <f>ROW(HideValues!$B17)</f>
        <v>17</v>
      </c>
      <c r="F105" s="67">
        <f>COLUMN(HideValues!$B17)</f>
        <v>2</v>
      </c>
      <c r="G105" s="231">
        <v>17</v>
      </c>
      <c r="H105" s="231">
        <v>2</v>
      </c>
      <c r="I105" s="69" t="s">
        <v>75</v>
      </c>
      <c r="J105" s="69" t="s">
        <v>279</v>
      </c>
      <c r="K105" s="291" t="s">
        <v>389</v>
      </c>
      <c r="L105" s="291" t="s">
        <v>280</v>
      </c>
      <c r="M105" s="291" t="s">
        <v>1129</v>
      </c>
      <c r="N105" s="291" t="s">
        <v>1314</v>
      </c>
      <c r="O105" s="303">
        <v>87</v>
      </c>
      <c r="P105" s="303" t="s">
        <v>1064</v>
      </c>
      <c r="Q105" s="303" t="s">
        <v>1064</v>
      </c>
      <c r="R105" s="303" t="s">
        <v>1064</v>
      </c>
      <c r="S105" s="303" t="s">
        <v>1064</v>
      </c>
    </row>
    <row r="106" spans="1:19" s="73" customFormat="1" ht="25.5" customHeight="1">
      <c r="A106" s="69" t="s">
        <v>76</v>
      </c>
      <c r="B106" s="70" t="s">
        <v>25</v>
      </c>
      <c r="C106" s="71"/>
      <c r="D106" s="71" t="s">
        <v>66</v>
      </c>
      <c r="E106" s="67">
        <f>ROW(HideValues!$B18)</f>
        <v>18</v>
      </c>
      <c r="F106" s="67">
        <f>COLUMN(HideValues!$B18)</f>
        <v>2</v>
      </c>
      <c r="G106" s="231">
        <v>18</v>
      </c>
      <c r="H106" s="231">
        <v>2</v>
      </c>
      <c r="I106" s="69" t="s">
        <v>4</v>
      </c>
      <c r="J106" s="69" t="s">
        <v>281</v>
      </c>
      <c r="K106" s="291" t="s">
        <v>390</v>
      </c>
      <c r="L106" s="291" t="s">
        <v>282</v>
      </c>
      <c r="M106" s="291" t="s">
        <v>1130</v>
      </c>
      <c r="N106" s="291" t="s">
        <v>4</v>
      </c>
      <c r="O106" s="303">
        <v>88</v>
      </c>
      <c r="P106" s="303" t="s">
        <v>1064</v>
      </c>
      <c r="Q106" s="303" t="s">
        <v>1064</v>
      </c>
      <c r="R106" s="303" t="s">
        <v>1064</v>
      </c>
      <c r="S106" s="303" t="s">
        <v>1064</v>
      </c>
    </row>
    <row r="107" spans="1:19" s="73" customFormat="1" ht="25.5" customHeight="1">
      <c r="A107" s="69" t="s">
        <v>76</v>
      </c>
      <c r="B107" s="70" t="s">
        <v>25</v>
      </c>
      <c r="C107" s="71"/>
      <c r="D107" s="71" t="s">
        <v>66</v>
      </c>
      <c r="E107" s="67">
        <f>ROW(HideValues!$B19)</f>
        <v>19</v>
      </c>
      <c r="F107" s="67">
        <f>COLUMN(HideValues!$B19)</f>
        <v>2</v>
      </c>
      <c r="G107" s="231">
        <v>19</v>
      </c>
      <c r="H107" s="231">
        <v>2</v>
      </c>
      <c r="I107" s="69" t="s">
        <v>18</v>
      </c>
      <c r="J107" s="69" t="s">
        <v>283</v>
      </c>
      <c r="K107" s="291" t="s">
        <v>391</v>
      </c>
      <c r="L107" s="291" t="s">
        <v>284</v>
      </c>
      <c r="M107" s="291" t="s">
        <v>1131</v>
      </c>
      <c r="N107" s="291" t="s">
        <v>18</v>
      </c>
      <c r="O107" s="303">
        <v>89</v>
      </c>
      <c r="P107" s="303" t="s">
        <v>1064</v>
      </c>
      <c r="Q107" s="303" t="s">
        <v>1064</v>
      </c>
      <c r="R107" s="303" t="s">
        <v>1064</v>
      </c>
      <c r="S107" s="303" t="s">
        <v>1064</v>
      </c>
    </row>
    <row r="108" spans="1:19" s="73" customFormat="1" ht="25.5" customHeight="1">
      <c r="A108" s="69" t="s">
        <v>77</v>
      </c>
      <c r="B108" s="70" t="s">
        <v>25</v>
      </c>
      <c r="C108" s="71"/>
      <c r="D108" s="71" t="s">
        <v>66</v>
      </c>
      <c r="E108" s="67">
        <f>ROW(HideValues!$B45)</f>
        <v>45</v>
      </c>
      <c r="F108" s="67">
        <f>COLUMN(HideValues!$B45)</f>
        <v>2</v>
      </c>
      <c r="G108" s="231">
        <v>45</v>
      </c>
      <c r="H108" s="231">
        <v>2</v>
      </c>
      <c r="I108" s="69" t="s">
        <v>207</v>
      </c>
      <c r="J108" s="69" t="s">
        <v>208</v>
      </c>
      <c r="K108" s="292" t="s">
        <v>346</v>
      </c>
      <c r="L108" s="293" t="s">
        <v>1477</v>
      </c>
      <c r="M108" s="291" t="s">
        <v>1132</v>
      </c>
      <c r="N108" s="292" t="s">
        <v>1315</v>
      </c>
      <c r="O108" s="303">
        <v>90</v>
      </c>
      <c r="P108" s="303" t="s">
        <v>1064</v>
      </c>
      <c r="Q108" s="303" t="s">
        <v>1064</v>
      </c>
      <c r="R108" s="303" t="s">
        <v>1064</v>
      </c>
      <c r="S108" s="303" t="s">
        <v>1064</v>
      </c>
    </row>
    <row r="109" spans="1:19" s="73" customFormat="1" ht="25.5" customHeight="1">
      <c r="A109" s="69" t="s">
        <v>77</v>
      </c>
      <c r="B109" s="70" t="s">
        <v>25</v>
      </c>
      <c r="C109" s="71"/>
      <c r="D109" s="71" t="s">
        <v>66</v>
      </c>
      <c r="E109" s="67">
        <f>ROW(HideValues!$D46)</f>
        <v>46</v>
      </c>
      <c r="F109" s="67">
        <f>COLUMN(HideValues!$B46)</f>
        <v>2</v>
      </c>
      <c r="G109" s="231">
        <v>46</v>
      </c>
      <c r="H109" s="231">
        <v>2</v>
      </c>
      <c r="I109" s="69" t="s">
        <v>648</v>
      </c>
      <c r="J109" s="69" t="s">
        <v>209</v>
      </c>
      <c r="K109" s="292" t="s">
        <v>347</v>
      </c>
      <c r="L109" s="293" t="s">
        <v>1478</v>
      </c>
      <c r="M109" s="291" t="s">
        <v>1133</v>
      </c>
      <c r="N109" s="292" t="s">
        <v>1316</v>
      </c>
      <c r="O109" s="303">
        <v>91</v>
      </c>
      <c r="P109" s="303" t="s">
        <v>1064</v>
      </c>
      <c r="Q109" s="303" t="s">
        <v>1064</v>
      </c>
      <c r="R109" s="303" t="s">
        <v>1064</v>
      </c>
      <c r="S109" s="303" t="s">
        <v>1064</v>
      </c>
    </row>
    <row r="110" spans="1:19" s="73" customFormat="1" ht="25.5" customHeight="1">
      <c r="A110" s="69" t="s">
        <v>77</v>
      </c>
      <c r="B110" s="70" t="s">
        <v>25</v>
      </c>
      <c r="C110" s="71"/>
      <c r="D110" s="71" t="s">
        <v>66</v>
      </c>
      <c r="E110" s="67">
        <f>ROW(HideValues!$D45)</f>
        <v>45</v>
      </c>
      <c r="F110" s="67">
        <f>COLUMN(HideValues!$D45)</f>
        <v>4</v>
      </c>
      <c r="G110" s="231">
        <v>45</v>
      </c>
      <c r="H110" s="231">
        <v>4</v>
      </c>
      <c r="I110" s="99" t="s">
        <v>148</v>
      </c>
      <c r="J110" s="99" t="s">
        <v>305</v>
      </c>
      <c r="K110" s="294" t="s">
        <v>171</v>
      </c>
      <c r="L110" s="294" t="s">
        <v>155</v>
      </c>
      <c r="M110" s="291" t="s">
        <v>171</v>
      </c>
      <c r="N110" s="294" t="s">
        <v>1317</v>
      </c>
      <c r="O110" s="303">
        <v>92</v>
      </c>
      <c r="P110" s="303" t="s">
        <v>1064</v>
      </c>
      <c r="Q110" s="303" t="s">
        <v>1064</v>
      </c>
      <c r="R110" s="303" t="s">
        <v>1064</v>
      </c>
      <c r="S110" s="303" t="s">
        <v>1064</v>
      </c>
    </row>
    <row r="111" spans="1:19" s="73" customFormat="1" ht="25.5" customHeight="1">
      <c r="A111" s="69" t="s">
        <v>77</v>
      </c>
      <c r="B111" s="70" t="s">
        <v>25</v>
      </c>
      <c r="C111" s="71"/>
      <c r="D111" s="71" t="s">
        <v>66</v>
      </c>
      <c r="E111" s="67">
        <f>ROW(HideValues!$D46)</f>
        <v>46</v>
      </c>
      <c r="F111" s="67">
        <f>COLUMN(HideValues!$D46)</f>
        <v>4</v>
      </c>
      <c r="G111" s="231">
        <v>46</v>
      </c>
      <c r="H111" s="231">
        <v>4</v>
      </c>
      <c r="I111" s="99" t="s">
        <v>149</v>
      </c>
      <c r="J111" s="99" t="s">
        <v>306</v>
      </c>
      <c r="K111" s="294" t="s">
        <v>162</v>
      </c>
      <c r="L111" s="294" t="s">
        <v>156</v>
      </c>
      <c r="M111" s="291" t="s">
        <v>1134</v>
      </c>
      <c r="N111" s="294" t="s">
        <v>1318</v>
      </c>
      <c r="O111" s="303">
        <v>93</v>
      </c>
      <c r="P111" s="303" t="s">
        <v>1064</v>
      </c>
      <c r="Q111" s="303" t="s">
        <v>1064</v>
      </c>
      <c r="R111" s="303" t="s">
        <v>1064</v>
      </c>
      <c r="S111" s="303" t="s">
        <v>1064</v>
      </c>
    </row>
    <row r="112" spans="1:19" s="73" customFormat="1" ht="25.5" customHeight="1">
      <c r="A112" s="69" t="s">
        <v>77</v>
      </c>
      <c r="B112" s="70" t="s">
        <v>25</v>
      </c>
      <c r="C112" s="71"/>
      <c r="D112" s="71" t="s">
        <v>66</v>
      </c>
      <c r="E112" s="67">
        <f>ROW(HideValues!$D47)</f>
        <v>47</v>
      </c>
      <c r="F112" s="67">
        <f>COLUMN(HideValues!$D47)</f>
        <v>4</v>
      </c>
      <c r="G112" s="231">
        <v>47</v>
      </c>
      <c r="H112" s="231">
        <v>4</v>
      </c>
      <c r="I112" s="99" t="s">
        <v>150</v>
      </c>
      <c r="J112" s="99" t="s">
        <v>307</v>
      </c>
      <c r="K112" s="294" t="s">
        <v>172</v>
      </c>
      <c r="L112" s="294" t="s">
        <v>157</v>
      </c>
      <c r="M112" s="291" t="s">
        <v>1135</v>
      </c>
      <c r="N112" s="294" t="s">
        <v>1319</v>
      </c>
      <c r="O112" s="303">
        <v>94</v>
      </c>
      <c r="P112" s="303" t="s">
        <v>1064</v>
      </c>
      <c r="Q112" s="303" t="s">
        <v>1064</v>
      </c>
      <c r="R112" s="303" t="s">
        <v>1064</v>
      </c>
      <c r="S112" s="303" t="s">
        <v>1064</v>
      </c>
    </row>
    <row r="113" spans="1:19" s="73" customFormat="1" ht="25.5" customHeight="1">
      <c r="A113" s="69" t="s">
        <v>77</v>
      </c>
      <c r="B113" s="70" t="s">
        <v>25</v>
      </c>
      <c r="C113" s="71"/>
      <c r="D113" s="71" t="s">
        <v>66</v>
      </c>
      <c r="E113" s="67">
        <f>ROW(HideValues!$D48)</f>
        <v>48</v>
      </c>
      <c r="F113" s="67">
        <f>COLUMN(HideValues!$D48)</f>
        <v>4</v>
      </c>
      <c r="G113" s="231">
        <v>48</v>
      </c>
      <c r="H113" s="231">
        <v>4</v>
      </c>
      <c r="I113" s="99" t="s">
        <v>151</v>
      </c>
      <c r="J113" s="99" t="s">
        <v>308</v>
      </c>
      <c r="K113" s="294" t="s">
        <v>163</v>
      </c>
      <c r="L113" s="294" t="s">
        <v>158</v>
      </c>
      <c r="M113" s="291" t="s">
        <v>1136</v>
      </c>
      <c r="N113" s="294" t="s">
        <v>1320</v>
      </c>
      <c r="O113" s="303">
        <v>95</v>
      </c>
      <c r="P113" s="303" t="s">
        <v>1064</v>
      </c>
      <c r="Q113" s="303" t="s">
        <v>1064</v>
      </c>
      <c r="R113" s="303" t="s">
        <v>1064</v>
      </c>
      <c r="S113" s="303" t="s">
        <v>1064</v>
      </c>
    </row>
    <row r="114" spans="1:19" s="73" customFormat="1" ht="25.5" customHeight="1">
      <c r="A114" s="69" t="s">
        <v>77</v>
      </c>
      <c r="B114" s="70" t="s">
        <v>25</v>
      </c>
      <c r="C114" s="71"/>
      <c r="D114" s="71" t="s">
        <v>66</v>
      </c>
      <c r="E114" s="67">
        <f>ROW(HideValues!$D49)</f>
        <v>49</v>
      </c>
      <c r="F114" s="67">
        <f>COLUMN(HideValues!$D49)</f>
        <v>4</v>
      </c>
      <c r="G114" s="231">
        <v>49</v>
      </c>
      <c r="H114" s="231">
        <v>4</v>
      </c>
      <c r="I114" s="99" t="s">
        <v>152</v>
      </c>
      <c r="J114" s="99" t="s">
        <v>309</v>
      </c>
      <c r="K114" s="294" t="s">
        <v>164</v>
      </c>
      <c r="L114" s="294" t="s">
        <v>159</v>
      </c>
      <c r="M114" s="291" t="s">
        <v>1137</v>
      </c>
      <c r="N114" s="294" t="s">
        <v>1321</v>
      </c>
      <c r="O114" s="303">
        <v>96</v>
      </c>
      <c r="P114" s="303" t="s">
        <v>1064</v>
      </c>
      <c r="Q114" s="303" t="s">
        <v>1064</v>
      </c>
      <c r="R114" s="303" t="s">
        <v>1064</v>
      </c>
      <c r="S114" s="303" t="s">
        <v>1064</v>
      </c>
    </row>
    <row r="115" spans="1:19" s="73" customFormat="1" ht="25.5" customHeight="1">
      <c r="A115" s="69" t="s">
        <v>77</v>
      </c>
      <c r="B115" s="70" t="s">
        <v>25</v>
      </c>
      <c r="C115" s="71"/>
      <c r="D115" s="71" t="s">
        <v>66</v>
      </c>
      <c r="E115" s="67">
        <f>ROW(HideValues!$D50)</f>
        <v>50</v>
      </c>
      <c r="F115" s="67">
        <f>COLUMN(HideValues!$D50)</f>
        <v>4</v>
      </c>
      <c r="G115" s="231">
        <v>50</v>
      </c>
      <c r="H115" s="231">
        <v>4</v>
      </c>
      <c r="I115" s="99" t="s">
        <v>153</v>
      </c>
      <c r="J115" s="99" t="s">
        <v>310</v>
      </c>
      <c r="K115" s="294" t="s">
        <v>173</v>
      </c>
      <c r="L115" s="294" t="s">
        <v>160</v>
      </c>
      <c r="M115" s="291" t="s">
        <v>1138</v>
      </c>
      <c r="N115" s="294" t="s">
        <v>1322</v>
      </c>
      <c r="O115" s="303">
        <v>97</v>
      </c>
      <c r="P115" s="303" t="s">
        <v>1064</v>
      </c>
      <c r="Q115" s="303" t="s">
        <v>1064</v>
      </c>
      <c r="R115" s="303" t="s">
        <v>1064</v>
      </c>
      <c r="S115" s="303" t="s">
        <v>1064</v>
      </c>
    </row>
    <row r="116" spans="1:19" s="73" customFormat="1" ht="25.5" customHeight="1">
      <c r="A116" s="69" t="s">
        <v>77</v>
      </c>
      <c r="B116" s="70" t="s">
        <v>25</v>
      </c>
      <c r="C116" s="71"/>
      <c r="D116" s="71" t="s">
        <v>66</v>
      </c>
      <c r="E116" s="67">
        <f>ROW(HideValues!$D51)</f>
        <v>51</v>
      </c>
      <c r="F116" s="67">
        <f>COLUMN(HideValues!$D51)</f>
        <v>4</v>
      </c>
      <c r="G116" s="231">
        <v>51</v>
      </c>
      <c r="H116" s="231">
        <v>4</v>
      </c>
      <c r="I116" s="99" t="s">
        <v>154</v>
      </c>
      <c r="J116" s="99" t="s">
        <v>311</v>
      </c>
      <c r="K116" s="294" t="s">
        <v>174</v>
      </c>
      <c r="L116" s="294" t="s">
        <v>161</v>
      </c>
      <c r="M116" s="291" t="s">
        <v>1139</v>
      </c>
      <c r="N116" s="294" t="s">
        <v>1323</v>
      </c>
      <c r="O116" s="303">
        <v>98</v>
      </c>
      <c r="P116" s="303" t="s">
        <v>1064</v>
      </c>
      <c r="Q116" s="303" t="s">
        <v>1064</v>
      </c>
      <c r="R116" s="303" t="s">
        <v>1064</v>
      </c>
      <c r="S116" s="303" t="s">
        <v>1064</v>
      </c>
    </row>
    <row r="117" spans="1:19" s="73" customFormat="1" ht="25.5" customHeight="1">
      <c r="A117" s="69" t="s">
        <v>77</v>
      </c>
      <c r="B117" s="70" t="s">
        <v>25</v>
      </c>
      <c r="C117" s="71"/>
      <c r="D117" s="71" t="s">
        <v>66</v>
      </c>
      <c r="E117" s="67">
        <f>ROW(HideValues!$D52)</f>
        <v>52</v>
      </c>
      <c r="F117" s="67">
        <f>COLUMN(HideValues!$D52)</f>
        <v>4</v>
      </c>
      <c r="G117" s="231">
        <v>52</v>
      </c>
      <c r="H117" s="231">
        <v>4</v>
      </c>
      <c r="I117" s="99" t="s">
        <v>141</v>
      </c>
      <c r="J117" s="99" t="s">
        <v>312</v>
      </c>
      <c r="K117" s="294" t="s">
        <v>165</v>
      </c>
      <c r="L117" s="293" t="s">
        <v>1479</v>
      </c>
      <c r="M117" s="291" t="s">
        <v>1140</v>
      </c>
      <c r="N117" s="294" t="s">
        <v>1324</v>
      </c>
      <c r="O117" s="303">
        <v>99</v>
      </c>
      <c r="P117" s="303" t="s">
        <v>1064</v>
      </c>
      <c r="Q117" s="303" t="s">
        <v>1064</v>
      </c>
      <c r="R117" s="303" t="s">
        <v>1064</v>
      </c>
      <c r="S117" s="303" t="s">
        <v>1064</v>
      </c>
    </row>
    <row r="118" spans="1:19" s="73" customFormat="1" ht="25.5" customHeight="1">
      <c r="A118" s="69" t="s">
        <v>77</v>
      </c>
      <c r="B118" s="70" t="s">
        <v>25</v>
      </c>
      <c r="C118" s="71"/>
      <c r="D118" s="71" t="s">
        <v>66</v>
      </c>
      <c r="E118" s="67">
        <f>ROW(HideValues!$D53)</f>
        <v>53</v>
      </c>
      <c r="F118" s="67">
        <f>COLUMN(HideValues!$D53)</f>
        <v>4</v>
      </c>
      <c r="G118" s="231">
        <v>53</v>
      </c>
      <c r="H118" s="231">
        <v>4</v>
      </c>
      <c r="I118" s="99" t="s">
        <v>142</v>
      </c>
      <c r="J118" s="99" t="s">
        <v>313</v>
      </c>
      <c r="K118" s="294" t="s">
        <v>175</v>
      </c>
      <c r="L118" s="293" t="s">
        <v>1480</v>
      </c>
      <c r="M118" s="291" t="s">
        <v>1141</v>
      </c>
      <c r="N118" s="294" t="s">
        <v>1325</v>
      </c>
      <c r="O118" s="303">
        <v>100</v>
      </c>
      <c r="P118" s="303" t="s">
        <v>1064</v>
      </c>
      <c r="Q118" s="303" t="s">
        <v>1064</v>
      </c>
      <c r="R118" s="303" t="s">
        <v>1064</v>
      </c>
      <c r="S118" s="303" t="s">
        <v>1064</v>
      </c>
    </row>
    <row r="119" spans="1:19" s="73" customFormat="1" ht="25.5" customHeight="1">
      <c r="A119" s="69" t="s">
        <v>77</v>
      </c>
      <c r="B119" s="70" t="s">
        <v>25</v>
      </c>
      <c r="C119" s="71"/>
      <c r="D119" s="71" t="s">
        <v>66</v>
      </c>
      <c r="E119" s="67">
        <f>ROW(HideValues!$D54)</f>
        <v>54</v>
      </c>
      <c r="F119" s="67">
        <f>COLUMN(HideValues!$D54)</f>
        <v>4</v>
      </c>
      <c r="G119" s="231">
        <v>54</v>
      </c>
      <c r="H119" s="231">
        <v>4</v>
      </c>
      <c r="I119" s="99" t="s">
        <v>143</v>
      </c>
      <c r="J119" s="99" t="s">
        <v>314</v>
      </c>
      <c r="K119" s="294" t="s">
        <v>166</v>
      </c>
      <c r="L119" s="293" t="s">
        <v>1481</v>
      </c>
      <c r="M119" s="291" t="s">
        <v>1142</v>
      </c>
      <c r="N119" s="294" t="s">
        <v>1326</v>
      </c>
      <c r="O119" s="303">
        <v>101</v>
      </c>
      <c r="P119" s="303" t="s">
        <v>1064</v>
      </c>
      <c r="Q119" s="303" t="s">
        <v>1064</v>
      </c>
      <c r="R119" s="303" t="s">
        <v>1064</v>
      </c>
      <c r="S119" s="303" t="s">
        <v>1064</v>
      </c>
    </row>
    <row r="120" spans="1:19" s="73" customFormat="1" ht="25.5" customHeight="1">
      <c r="A120" s="69" t="s">
        <v>77</v>
      </c>
      <c r="B120" s="70" t="s">
        <v>25</v>
      </c>
      <c r="C120" s="71"/>
      <c r="D120" s="71" t="s">
        <v>66</v>
      </c>
      <c r="E120" s="67">
        <f>ROW(HideValues!$D55)</f>
        <v>55</v>
      </c>
      <c r="F120" s="67">
        <f>COLUMN(HideValues!$D55)</f>
        <v>4</v>
      </c>
      <c r="G120" s="231">
        <v>55</v>
      </c>
      <c r="H120" s="231">
        <v>4</v>
      </c>
      <c r="I120" s="99" t="s">
        <v>144</v>
      </c>
      <c r="J120" s="99" t="s">
        <v>315</v>
      </c>
      <c r="K120" s="294" t="s">
        <v>167</v>
      </c>
      <c r="L120" s="293" t="s">
        <v>1482</v>
      </c>
      <c r="M120" s="291" t="s">
        <v>1143</v>
      </c>
      <c r="N120" s="294" t="s">
        <v>1327</v>
      </c>
      <c r="O120" s="303">
        <v>102</v>
      </c>
      <c r="P120" s="303" t="s">
        <v>1064</v>
      </c>
      <c r="Q120" s="303" t="s">
        <v>1064</v>
      </c>
      <c r="R120" s="303" t="s">
        <v>1064</v>
      </c>
      <c r="S120" s="303" t="s">
        <v>1064</v>
      </c>
    </row>
    <row r="121" spans="1:19" s="73" customFormat="1" ht="25.5" customHeight="1">
      <c r="A121" s="69" t="s">
        <v>77</v>
      </c>
      <c r="B121" s="70" t="s">
        <v>25</v>
      </c>
      <c r="C121" s="71"/>
      <c r="D121" s="71" t="s">
        <v>66</v>
      </c>
      <c r="E121" s="67">
        <f>ROW(HideValues!$D56)</f>
        <v>56</v>
      </c>
      <c r="F121" s="67">
        <f>COLUMN(HideValues!$D56)</f>
        <v>4</v>
      </c>
      <c r="G121" s="231">
        <v>56</v>
      </c>
      <c r="H121" s="231">
        <v>4</v>
      </c>
      <c r="I121" s="99" t="s">
        <v>145</v>
      </c>
      <c r="J121" s="99" t="s">
        <v>316</v>
      </c>
      <c r="K121" s="294" t="s">
        <v>168</v>
      </c>
      <c r="L121" s="293" t="s">
        <v>1483</v>
      </c>
      <c r="M121" s="291" t="s">
        <v>1144</v>
      </c>
      <c r="N121" s="294" t="s">
        <v>1328</v>
      </c>
      <c r="O121" s="303">
        <v>103</v>
      </c>
      <c r="P121" s="303" t="s">
        <v>1064</v>
      </c>
      <c r="Q121" s="303" t="s">
        <v>1064</v>
      </c>
      <c r="R121" s="303" t="s">
        <v>1064</v>
      </c>
      <c r="S121" s="303" t="s">
        <v>1064</v>
      </c>
    </row>
    <row r="122" spans="1:19" s="73" customFormat="1" ht="25.5" customHeight="1">
      <c r="A122" s="69" t="s">
        <v>77</v>
      </c>
      <c r="B122" s="70" t="s">
        <v>25</v>
      </c>
      <c r="C122" s="71"/>
      <c r="D122" s="71" t="s">
        <v>66</v>
      </c>
      <c r="E122" s="67">
        <f>ROW(HideValues!$D57)</f>
        <v>57</v>
      </c>
      <c r="F122" s="67">
        <f>COLUMN(HideValues!$D57)</f>
        <v>4</v>
      </c>
      <c r="G122" s="231">
        <v>57</v>
      </c>
      <c r="H122" s="231">
        <v>4</v>
      </c>
      <c r="I122" s="99" t="s">
        <v>146</v>
      </c>
      <c r="J122" s="99" t="s">
        <v>317</v>
      </c>
      <c r="K122" s="294" t="s">
        <v>169</v>
      </c>
      <c r="L122" s="293" t="s">
        <v>1484</v>
      </c>
      <c r="M122" s="291" t="s">
        <v>1145</v>
      </c>
      <c r="N122" s="294" t="s">
        <v>1329</v>
      </c>
      <c r="O122" s="303">
        <v>104</v>
      </c>
      <c r="P122" s="303" t="s">
        <v>1064</v>
      </c>
      <c r="Q122" s="303" t="s">
        <v>1064</v>
      </c>
      <c r="R122" s="303" t="s">
        <v>1064</v>
      </c>
      <c r="S122" s="303" t="s">
        <v>1064</v>
      </c>
    </row>
    <row r="123" spans="1:19" s="73" customFormat="1" ht="25.5" customHeight="1">
      <c r="A123" s="69" t="s">
        <v>77</v>
      </c>
      <c r="B123" s="70" t="s">
        <v>25</v>
      </c>
      <c r="C123" s="71"/>
      <c r="D123" s="71" t="s">
        <v>66</v>
      </c>
      <c r="E123" s="67">
        <f>ROW(HideValues!$D58)</f>
        <v>58</v>
      </c>
      <c r="F123" s="67">
        <f>COLUMN(HideValues!$D58)</f>
        <v>4</v>
      </c>
      <c r="G123" s="231">
        <v>58</v>
      </c>
      <c r="H123" s="231">
        <v>4</v>
      </c>
      <c r="I123" s="99" t="s">
        <v>147</v>
      </c>
      <c r="J123" s="99" t="s">
        <v>318</v>
      </c>
      <c r="K123" s="294" t="s">
        <v>170</v>
      </c>
      <c r="L123" s="293" t="s">
        <v>1485</v>
      </c>
      <c r="M123" s="291" t="s">
        <v>1146</v>
      </c>
      <c r="N123" s="294" t="s">
        <v>1330</v>
      </c>
      <c r="O123" s="303">
        <v>105</v>
      </c>
      <c r="P123" s="303" t="s">
        <v>1064</v>
      </c>
      <c r="Q123" s="303" t="s">
        <v>1064</v>
      </c>
      <c r="R123" s="303" t="s">
        <v>1064</v>
      </c>
      <c r="S123" s="303" t="s">
        <v>1064</v>
      </c>
    </row>
    <row r="124" spans="1:19" s="73" customFormat="1" ht="25.5" customHeight="1">
      <c r="A124" s="69" t="s">
        <v>77</v>
      </c>
      <c r="B124" s="70" t="s">
        <v>25</v>
      </c>
      <c r="C124" s="71"/>
      <c r="D124" s="71" t="s">
        <v>66</v>
      </c>
      <c r="E124" s="67">
        <f>ROW(HideValues!$H45)</f>
        <v>45</v>
      </c>
      <c r="F124" s="67">
        <f>COLUMN(HideValues!$H45)</f>
        <v>8</v>
      </c>
      <c r="G124" s="231">
        <v>45</v>
      </c>
      <c r="H124" s="231">
        <v>8</v>
      </c>
      <c r="I124" s="99" t="s">
        <v>327</v>
      </c>
      <c r="J124" s="99" t="s">
        <v>326</v>
      </c>
      <c r="K124" s="294" t="s">
        <v>328</v>
      </c>
      <c r="L124" s="294" t="s">
        <v>329</v>
      </c>
      <c r="M124" s="291" t="s">
        <v>1147</v>
      </c>
      <c r="N124" s="294" t="s">
        <v>1331</v>
      </c>
      <c r="O124" s="303">
        <v>106</v>
      </c>
      <c r="P124" s="303" t="s">
        <v>1064</v>
      </c>
      <c r="Q124" s="303" t="s">
        <v>1064</v>
      </c>
      <c r="R124" s="303" t="s">
        <v>1064</v>
      </c>
      <c r="S124" s="303" t="s">
        <v>1064</v>
      </c>
    </row>
    <row r="125" spans="1:19" s="73" customFormat="1" ht="25.5" customHeight="1">
      <c r="A125" s="69" t="s">
        <v>77</v>
      </c>
      <c r="B125" s="70" t="s">
        <v>25</v>
      </c>
      <c r="C125" s="71"/>
      <c r="D125" s="71" t="s">
        <v>66</v>
      </c>
      <c r="E125" s="67">
        <f>ROW(HideValues!$H46)</f>
        <v>46</v>
      </c>
      <c r="F125" s="67">
        <f>COLUMN(HideValues!$H46)</f>
        <v>8</v>
      </c>
      <c r="G125" s="231">
        <v>46</v>
      </c>
      <c r="H125" s="231">
        <v>8</v>
      </c>
      <c r="I125" s="99" t="s">
        <v>184</v>
      </c>
      <c r="J125" s="99" t="s">
        <v>177</v>
      </c>
      <c r="K125" s="294" t="s">
        <v>319</v>
      </c>
      <c r="L125" s="294" t="s">
        <v>186</v>
      </c>
      <c r="M125" s="291" t="s">
        <v>1148</v>
      </c>
      <c r="N125" s="294" t="s">
        <v>1332</v>
      </c>
      <c r="O125" s="303">
        <v>107</v>
      </c>
      <c r="P125" s="303" t="s">
        <v>1064</v>
      </c>
      <c r="Q125" s="303" t="s">
        <v>1064</v>
      </c>
      <c r="R125" s="303" t="s">
        <v>1064</v>
      </c>
      <c r="S125" s="303" t="s">
        <v>1064</v>
      </c>
    </row>
    <row r="126" spans="1:19" s="73" customFormat="1" ht="25.5" customHeight="1">
      <c r="A126" s="69" t="s">
        <v>77</v>
      </c>
      <c r="B126" s="70" t="s">
        <v>25</v>
      </c>
      <c r="C126" s="71"/>
      <c r="D126" s="71" t="s">
        <v>66</v>
      </c>
      <c r="E126" s="67">
        <f>ROW(HideValues!$H47)</f>
        <v>47</v>
      </c>
      <c r="F126" s="67">
        <f>COLUMN(HideValues!$H47)</f>
        <v>8</v>
      </c>
      <c r="G126" s="231">
        <v>47</v>
      </c>
      <c r="H126" s="231">
        <v>8</v>
      </c>
      <c r="I126" s="99" t="s">
        <v>185</v>
      </c>
      <c r="J126" s="99" t="s">
        <v>178</v>
      </c>
      <c r="K126" s="294" t="s">
        <v>320</v>
      </c>
      <c r="L126" s="294" t="s">
        <v>187</v>
      </c>
      <c r="M126" s="291" t="s">
        <v>1149</v>
      </c>
      <c r="N126" s="294" t="s">
        <v>1333</v>
      </c>
      <c r="O126" s="303">
        <v>108</v>
      </c>
      <c r="P126" s="303" t="s">
        <v>1064</v>
      </c>
      <c r="Q126" s="303" t="s">
        <v>1064</v>
      </c>
      <c r="R126" s="303" t="s">
        <v>1064</v>
      </c>
      <c r="S126" s="303" t="s">
        <v>1064</v>
      </c>
    </row>
    <row r="127" spans="1:19" s="73" customFormat="1" ht="25.5" customHeight="1">
      <c r="A127" s="69" t="s">
        <v>77</v>
      </c>
      <c r="B127" s="70" t="s">
        <v>25</v>
      </c>
      <c r="C127" s="71"/>
      <c r="D127" s="71" t="s">
        <v>66</v>
      </c>
      <c r="E127" s="67">
        <f>ROW(HideValues!$H48)</f>
        <v>48</v>
      </c>
      <c r="F127" s="67">
        <f>COLUMN(HideValues!$H48)</f>
        <v>8</v>
      </c>
      <c r="G127" s="231">
        <v>48</v>
      </c>
      <c r="H127" s="231">
        <v>8</v>
      </c>
      <c r="I127" s="99" t="s">
        <v>193</v>
      </c>
      <c r="J127" s="99" t="s">
        <v>179</v>
      </c>
      <c r="K127" s="294" t="s">
        <v>321</v>
      </c>
      <c r="L127" s="294" t="s">
        <v>188</v>
      </c>
      <c r="M127" s="291" t="s">
        <v>1150</v>
      </c>
      <c r="N127" s="294" t="s">
        <v>1334</v>
      </c>
      <c r="O127" s="303">
        <v>109</v>
      </c>
      <c r="P127" s="303" t="s">
        <v>1064</v>
      </c>
      <c r="Q127" s="303" t="s">
        <v>1064</v>
      </c>
      <c r="R127" s="303" t="s">
        <v>1064</v>
      </c>
      <c r="S127" s="303" t="s">
        <v>1064</v>
      </c>
    </row>
    <row r="128" spans="1:19" s="73" customFormat="1" ht="25.5" customHeight="1">
      <c r="A128" s="69" t="s">
        <v>77</v>
      </c>
      <c r="B128" s="70" t="s">
        <v>25</v>
      </c>
      <c r="C128" s="71"/>
      <c r="D128" s="71" t="s">
        <v>66</v>
      </c>
      <c r="E128" s="67">
        <f>ROW(HideValues!$H49)</f>
        <v>49</v>
      </c>
      <c r="F128" s="67">
        <f>COLUMN(HideValues!$H49)</f>
        <v>8</v>
      </c>
      <c r="G128" s="231">
        <v>49</v>
      </c>
      <c r="H128" s="231">
        <v>8</v>
      </c>
      <c r="I128" s="99" t="s">
        <v>194</v>
      </c>
      <c r="J128" s="99" t="s">
        <v>180</v>
      </c>
      <c r="K128" s="294" t="s">
        <v>322</v>
      </c>
      <c r="L128" s="294" t="s">
        <v>189</v>
      </c>
      <c r="M128" s="291" t="s">
        <v>1151</v>
      </c>
      <c r="N128" s="294" t="s">
        <v>1335</v>
      </c>
      <c r="O128" s="303">
        <v>110</v>
      </c>
      <c r="P128" s="303" t="s">
        <v>1064</v>
      </c>
      <c r="Q128" s="303" t="s">
        <v>1064</v>
      </c>
      <c r="R128" s="303" t="s">
        <v>1064</v>
      </c>
      <c r="S128" s="303" t="s">
        <v>1064</v>
      </c>
    </row>
    <row r="129" spans="1:19" s="73" customFormat="1" ht="25.5" customHeight="1">
      <c r="A129" s="69" t="s">
        <v>77</v>
      </c>
      <c r="B129" s="70" t="s">
        <v>25</v>
      </c>
      <c r="C129" s="71"/>
      <c r="D129" s="71" t="s">
        <v>66</v>
      </c>
      <c r="E129" s="67">
        <f>ROW(HideValues!$H50)</f>
        <v>50</v>
      </c>
      <c r="F129" s="67">
        <f>COLUMN(HideValues!$H50)</f>
        <v>8</v>
      </c>
      <c r="G129" s="231">
        <v>50</v>
      </c>
      <c r="H129" s="231">
        <v>8</v>
      </c>
      <c r="I129" s="99" t="s">
        <v>195</v>
      </c>
      <c r="J129" s="99" t="s">
        <v>181</v>
      </c>
      <c r="K129" s="294" t="s">
        <v>323</v>
      </c>
      <c r="L129" s="294" t="s">
        <v>190</v>
      </c>
      <c r="M129" s="291" t="s">
        <v>1152</v>
      </c>
      <c r="N129" s="294" t="s">
        <v>1336</v>
      </c>
      <c r="O129" s="303">
        <v>111</v>
      </c>
      <c r="P129" s="303" t="s">
        <v>1064</v>
      </c>
      <c r="Q129" s="303" t="s">
        <v>1064</v>
      </c>
      <c r="R129" s="303" t="s">
        <v>1064</v>
      </c>
      <c r="S129" s="303" t="s">
        <v>1064</v>
      </c>
    </row>
    <row r="130" spans="1:19" s="73" customFormat="1" ht="25.5" customHeight="1">
      <c r="A130" s="69" t="s">
        <v>77</v>
      </c>
      <c r="B130" s="70" t="s">
        <v>25</v>
      </c>
      <c r="C130" s="71"/>
      <c r="D130" s="71" t="s">
        <v>66</v>
      </c>
      <c r="E130" s="67">
        <f>ROW(HideValues!$H51)</f>
        <v>51</v>
      </c>
      <c r="F130" s="67">
        <f>COLUMN(HideValues!$H51)</f>
        <v>8</v>
      </c>
      <c r="G130" s="231">
        <v>51</v>
      </c>
      <c r="H130" s="231">
        <v>8</v>
      </c>
      <c r="I130" s="99" t="s">
        <v>196</v>
      </c>
      <c r="J130" s="99" t="s">
        <v>182</v>
      </c>
      <c r="K130" s="294" t="s">
        <v>324</v>
      </c>
      <c r="L130" s="294" t="s">
        <v>191</v>
      </c>
      <c r="M130" s="291" t="s">
        <v>324</v>
      </c>
      <c r="N130" s="294" t="s">
        <v>1337</v>
      </c>
      <c r="O130" s="303">
        <v>112</v>
      </c>
      <c r="P130" s="303" t="s">
        <v>1064</v>
      </c>
      <c r="Q130" s="303" t="s">
        <v>1064</v>
      </c>
      <c r="R130" s="303" t="s">
        <v>1064</v>
      </c>
      <c r="S130" s="303" t="s">
        <v>1064</v>
      </c>
    </row>
    <row r="131" spans="1:19" s="73" customFormat="1" ht="25.5" customHeight="1">
      <c r="A131" s="69" t="s">
        <v>77</v>
      </c>
      <c r="B131" s="70" t="s">
        <v>25</v>
      </c>
      <c r="C131" s="71"/>
      <c r="D131" s="71" t="s">
        <v>66</v>
      </c>
      <c r="E131" s="67">
        <f>ROW(HideValues!$H52)</f>
        <v>52</v>
      </c>
      <c r="F131" s="67">
        <f>COLUMN(HideValues!$H52)</f>
        <v>8</v>
      </c>
      <c r="G131" s="231">
        <v>52</v>
      </c>
      <c r="H131" s="231">
        <v>8</v>
      </c>
      <c r="I131" s="99" t="s">
        <v>197</v>
      </c>
      <c r="J131" s="99" t="s">
        <v>183</v>
      </c>
      <c r="K131" s="294" t="s">
        <v>325</v>
      </c>
      <c r="L131" s="294" t="s">
        <v>192</v>
      </c>
      <c r="M131" s="291" t="s">
        <v>325</v>
      </c>
      <c r="N131" s="294" t="s">
        <v>1338</v>
      </c>
      <c r="O131" s="303">
        <v>113</v>
      </c>
      <c r="P131" s="303" t="s">
        <v>1064</v>
      </c>
      <c r="Q131" s="303" t="s">
        <v>1064</v>
      </c>
      <c r="R131" s="303" t="s">
        <v>1064</v>
      </c>
      <c r="S131" s="303" t="s">
        <v>1064</v>
      </c>
    </row>
    <row r="132" spans="1:19" s="73" customFormat="1" ht="38.25" customHeight="1">
      <c r="A132" s="69" t="s">
        <v>82</v>
      </c>
      <c r="B132" s="70" t="s">
        <v>25</v>
      </c>
      <c r="C132" s="71"/>
      <c r="D132" s="70" t="s">
        <v>83</v>
      </c>
      <c r="E132" s="67">
        <f>ROW(HideValues!$B77)</f>
        <v>77</v>
      </c>
      <c r="F132" s="67">
        <f>COLUMN(HideValues!$B77)</f>
        <v>2</v>
      </c>
      <c r="G132" s="231">
        <v>77</v>
      </c>
      <c r="H132" s="231">
        <v>2</v>
      </c>
      <c r="I132" s="69" t="s">
        <v>78</v>
      </c>
      <c r="J132" s="69" t="s">
        <v>285</v>
      </c>
      <c r="K132" s="291" t="s">
        <v>348</v>
      </c>
      <c r="L132" s="293" t="s">
        <v>1486</v>
      </c>
      <c r="M132" s="291" t="s">
        <v>1153</v>
      </c>
      <c r="N132" s="291" t="s">
        <v>1339</v>
      </c>
      <c r="O132" s="303">
        <v>114</v>
      </c>
      <c r="P132" s="303" t="s">
        <v>1064</v>
      </c>
      <c r="Q132" s="303" t="s">
        <v>1064</v>
      </c>
      <c r="R132" s="303" t="s">
        <v>1064</v>
      </c>
      <c r="S132" s="303" t="s">
        <v>1064</v>
      </c>
    </row>
    <row r="133" spans="1:19" s="73" customFormat="1" ht="51" customHeight="1">
      <c r="A133" s="69" t="s">
        <v>82</v>
      </c>
      <c r="B133" s="70" t="s">
        <v>25</v>
      </c>
      <c r="C133" s="71"/>
      <c r="D133" s="71" t="s">
        <v>66</v>
      </c>
      <c r="E133" s="67">
        <f>ROW(HideValues!$B78)</f>
        <v>78</v>
      </c>
      <c r="F133" s="67">
        <f>COLUMN(HideValues!$B78)</f>
        <v>2</v>
      </c>
      <c r="G133" s="231">
        <v>78</v>
      </c>
      <c r="H133" s="231">
        <v>2</v>
      </c>
      <c r="I133" s="69" t="s">
        <v>79</v>
      </c>
      <c r="J133" s="69" t="s">
        <v>286</v>
      </c>
      <c r="K133" s="291" t="s">
        <v>92</v>
      </c>
      <c r="L133" s="293" t="s">
        <v>1487</v>
      </c>
      <c r="M133" s="291" t="s">
        <v>1154</v>
      </c>
      <c r="N133" s="291" t="s">
        <v>1340</v>
      </c>
      <c r="O133" s="303">
        <v>115</v>
      </c>
      <c r="P133" s="303" t="s">
        <v>1064</v>
      </c>
      <c r="Q133" s="303" t="s">
        <v>1064</v>
      </c>
      <c r="R133" s="303" t="s">
        <v>1064</v>
      </c>
      <c r="S133" s="303" t="s">
        <v>1064</v>
      </c>
    </row>
    <row r="134" spans="1:19" s="73" customFormat="1" ht="25.5" customHeight="1">
      <c r="A134" s="69" t="s">
        <v>82</v>
      </c>
      <c r="B134" s="70" t="s">
        <v>25</v>
      </c>
      <c r="C134" s="71"/>
      <c r="D134" s="71" t="s">
        <v>66</v>
      </c>
      <c r="E134" s="67">
        <f>ROW(HideValues!$B79)</f>
        <v>79</v>
      </c>
      <c r="F134" s="67">
        <f>COLUMN(HideValues!$B79)</f>
        <v>2</v>
      </c>
      <c r="G134" s="231">
        <v>79</v>
      </c>
      <c r="H134" s="231">
        <v>2</v>
      </c>
      <c r="I134" s="69" t="s">
        <v>80</v>
      </c>
      <c r="J134" s="69" t="s">
        <v>104</v>
      </c>
      <c r="K134" s="291" t="s">
        <v>349</v>
      </c>
      <c r="L134" s="293" t="s">
        <v>1488</v>
      </c>
      <c r="M134" s="291" t="s">
        <v>1155</v>
      </c>
      <c r="N134" s="291" t="s">
        <v>1341</v>
      </c>
      <c r="O134" s="303">
        <v>116</v>
      </c>
      <c r="P134" s="303" t="s">
        <v>1064</v>
      </c>
      <c r="Q134" s="303" t="s">
        <v>1064</v>
      </c>
      <c r="R134" s="303" t="s">
        <v>1064</v>
      </c>
      <c r="S134" s="303" t="s">
        <v>1064</v>
      </c>
    </row>
    <row r="135" spans="1:19" s="73" customFormat="1" ht="25.5" customHeight="1">
      <c r="A135" s="97" t="s">
        <v>553</v>
      </c>
      <c r="B135" s="70" t="s">
        <v>25</v>
      </c>
      <c r="C135" s="71"/>
      <c r="D135" s="70" t="s">
        <v>83</v>
      </c>
      <c r="E135" s="67">
        <f>ROW(HideValues!$B69)</f>
        <v>69</v>
      </c>
      <c r="F135" s="67">
        <f>COLUMN(HideValues!$B64)</f>
        <v>2</v>
      </c>
      <c r="G135" s="231">
        <v>69</v>
      </c>
      <c r="H135" s="231">
        <v>2</v>
      </c>
      <c r="I135" s="69" t="s">
        <v>556</v>
      </c>
      <c r="J135" s="289" t="s">
        <v>555</v>
      </c>
      <c r="K135" s="295" t="s">
        <v>558</v>
      </c>
      <c r="L135" s="293" t="s">
        <v>1489</v>
      </c>
      <c r="M135" s="291" t="s">
        <v>1156</v>
      </c>
      <c r="N135" s="295" t="s">
        <v>1342</v>
      </c>
      <c r="O135" s="303">
        <v>117</v>
      </c>
      <c r="P135" s="303" t="s">
        <v>1064</v>
      </c>
      <c r="Q135" s="303" t="s">
        <v>1064</v>
      </c>
      <c r="R135" s="303" t="s">
        <v>1064</v>
      </c>
      <c r="S135" s="303" t="s">
        <v>1064</v>
      </c>
    </row>
    <row r="136" spans="1:19" s="73" customFormat="1" ht="25.5" customHeight="1">
      <c r="A136" s="97" t="s">
        <v>553</v>
      </c>
      <c r="B136" s="70" t="s">
        <v>25</v>
      </c>
      <c r="C136" s="71"/>
      <c r="D136" s="70" t="s">
        <v>83</v>
      </c>
      <c r="E136" s="67">
        <f>ROW(HideValues!$B70)</f>
        <v>70</v>
      </c>
      <c r="F136" s="67">
        <f>COLUMN(HideValues!$B70)</f>
        <v>2</v>
      </c>
      <c r="G136" s="231">
        <v>70</v>
      </c>
      <c r="H136" s="231">
        <v>2</v>
      </c>
      <c r="I136" s="69" t="s">
        <v>554</v>
      </c>
      <c r="J136" s="191" t="s">
        <v>557</v>
      </c>
      <c r="K136" s="303" t="s">
        <v>1566</v>
      </c>
      <c r="L136" s="293" t="s">
        <v>1490</v>
      </c>
      <c r="M136" s="291" t="s">
        <v>1157</v>
      </c>
      <c r="N136" s="295" t="s">
        <v>1343</v>
      </c>
      <c r="O136" s="303">
        <v>118</v>
      </c>
      <c r="P136" s="303" t="s">
        <v>1064</v>
      </c>
      <c r="Q136" s="303" t="s">
        <v>1064</v>
      </c>
      <c r="R136" s="303" t="s">
        <v>1064</v>
      </c>
      <c r="S136" s="303" t="s">
        <v>1064</v>
      </c>
    </row>
    <row r="137" spans="1:19" s="73" customFormat="1" ht="25.5" customHeight="1">
      <c r="A137" s="69" t="s">
        <v>128</v>
      </c>
      <c r="B137" s="70" t="s">
        <v>25</v>
      </c>
      <c r="C137" s="71"/>
      <c r="D137" s="70" t="s">
        <v>83</v>
      </c>
      <c r="E137" s="67">
        <f>ROW(HideValues!$B64)</f>
        <v>64</v>
      </c>
      <c r="F137" s="67">
        <f>COLUMN(HideValues!$B64)</f>
        <v>2</v>
      </c>
      <c r="G137" s="231">
        <v>64</v>
      </c>
      <c r="H137" s="231">
        <v>2</v>
      </c>
      <c r="I137" s="69" t="s">
        <v>127</v>
      </c>
      <c r="J137" s="189" t="s">
        <v>132</v>
      </c>
      <c r="K137" s="304" t="s">
        <v>350</v>
      </c>
      <c r="L137" s="293" t="s">
        <v>1491</v>
      </c>
      <c r="M137" s="291" t="s">
        <v>1158</v>
      </c>
      <c r="N137" s="300" t="s">
        <v>1344</v>
      </c>
      <c r="O137" s="303">
        <v>119</v>
      </c>
      <c r="P137" s="303" t="s">
        <v>1064</v>
      </c>
      <c r="Q137" s="303" t="s">
        <v>1064</v>
      </c>
      <c r="R137" s="303" t="s">
        <v>1064</v>
      </c>
      <c r="S137" s="303" t="s">
        <v>1064</v>
      </c>
    </row>
    <row r="138" spans="1:19" s="73" customFormat="1" ht="38.25" customHeight="1">
      <c r="A138" s="69" t="s">
        <v>128</v>
      </c>
      <c r="B138" s="70" t="s">
        <v>25</v>
      </c>
      <c r="C138" s="71"/>
      <c r="D138" s="71" t="s">
        <v>66</v>
      </c>
      <c r="E138" s="67">
        <f>ROW(HideValues!$B65)</f>
        <v>65</v>
      </c>
      <c r="F138" s="67">
        <f>COLUMN(HideValues!$B65)</f>
        <v>2</v>
      </c>
      <c r="G138" s="231">
        <v>65</v>
      </c>
      <c r="H138" s="231">
        <v>2</v>
      </c>
      <c r="I138" s="69" t="s">
        <v>126</v>
      </c>
      <c r="J138" s="190" t="s">
        <v>131</v>
      </c>
      <c r="K138" s="295" t="s">
        <v>351</v>
      </c>
      <c r="L138" s="293" t="s">
        <v>1492</v>
      </c>
      <c r="M138" s="291" t="s">
        <v>1159</v>
      </c>
      <c r="N138" s="300" t="s">
        <v>1345</v>
      </c>
      <c r="O138" s="303">
        <v>120</v>
      </c>
      <c r="P138" s="303" t="s">
        <v>1064</v>
      </c>
      <c r="Q138" s="303" t="s">
        <v>1064</v>
      </c>
      <c r="R138" s="303" t="s">
        <v>1064</v>
      </c>
      <c r="S138" s="303" t="s">
        <v>1064</v>
      </c>
    </row>
    <row r="139" spans="1:19" s="73" customFormat="1" ht="25.5" customHeight="1">
      <c r="A139" s="69" t="s">
        <v>128</v>
      </c>
      <c r="B139" s="70" t="s">
        <v>25</v>
      </c>
      <c r="C139" s="71"/>
      <c r="D139" s="71" t="s">
        <v>66</v>
      </c>
      <c r="E139" s="67">
        <f>ROW(HideValues!$B66)</f>
        <v>66</v>
      </c>
      <c r="F139" s="67">
        <f>COLUMN(HideValues!$B66)</f>
        <v>2</v>
      </c>
      <c r="G139" s="231">
        <v>66</v>
      </c>
      <c r="H139" s="231">
        <v>2</v>
      </c>
      <c r="I139" s="69" t="s">
        <v>125</v>
      </c>
      <c r="J139" s="190" t="s">
        <v>130</v>
      </c>
      <c r="K139" s="295" t="s">
        <v>129</v>
      </c>
      <c r="L139" s="293" t="s">
        <v>1493</v>
      </c>
      <c r="M139" s="291" t="s">
        <v>1160</v>
      </c>
      <c r="N139" s="300" t="s">
        <v>1346</v>
      </c>
      <c r="O139" s="303">
        <v>121</v>
      </c>
      <c r="P139" s="303" t="s">
        <v>1064</v>
      </c>
      <c r="Q139" s="303" t="s">
        <v>1064</v>
      </c>
      <c r="R139" s="303" t="s">
        <v>1064</v>
      </c>
      <c r="S139" s="303" t="s">
        <v>1064</v>
      </c>
    </row>
    <row r="140" spans="1:19" s="73" customFormat="1" ht="12.75" customHeight="1">
      <c r="A140" s="69" t="s">
        <v>98</v>
      </c>
      <c r="B140" s="70" t="s">
        <v>217</v>
      </c>
      <c r="C140" s="70" t="s">
        <v>137</v>
      </c>
      <c r="D140" s="70" t="s">
        <v>41</v>
      </c>
      <c r="E140" s="71"/>
      <c r="F140" s="71"/>
      <c r="G140" s="231"/>
      <c r="H140" s="231"/>
      <c r="I140" s="69" t="s">
        <v>287</v>
      </c>
      <c r="J140" s="69" t="s">
        <v>288</v>
      </c>
      <c r="K140" s="291" t="s">
        <v>353</v>
      </c>
      <c r="L140" s="293" t="s">
        <v>1494</v>
      </c>
      <c r="M140" s="291" t="s">
        <v>1161</v>
      </c>
      <c r="N140" s="291" t="s">
        <v>1347</v>
      </c>
      <c r="O140" s="303">
        <v>122</v>
      </c>
      <c r="P140" s="303" t="s">
        <v>1064</v>
      </c>
      <c r="Q140" s="303" t="s">
        <v>1064</v>
      </c>
      <c r="R140" s="303" t="s">
        <v>1064</v>
      </c>
      <c r="S140" s="303" t="s">
        <v>1064</v>
      </c>
    </row>
    <row r="141" spans="1:19" s="73" customFormat="1" ht="38.25" customHeight="1">
      <c r="A141" s="69" t="s">
        <v>98</v>
      </c>
      <c r="B141" s="70" t="s">
        <v>217</v>
      </c>
      <c r="C141" s="70" t="s">
        <v>99</v>
      </c>
      <c r="D141" s="70" t="s">
        <v>41</v>
      </c>
      <c r="E141" s="71"/>
      <c r="F141" s="71"/>
      <c r="G141" s="231"/>
      <c r="H141" s="231"/>
      <c r="I141" s="69" t="s">
        <v>119</v>
      </c>
      <c r="J141" s="69" t="s">
        <v>120</v>
      </c>
      <c r="K141" s="291" t="s">
        <v>354</v>
      </c>
      <c r="L141" s="293" t="s">
        <v>1495</v>
      </c>
      <c r="M141" s="291" t="s">
        <v>1162</v>
      </c>
      <c r="N141" s="291" t="s">
        <v>1348</v>
      </c>
      <c r="O141" s="303">
        <v>123</v>
      </c>
      <c r="P141" s="303" t="s">
        <v>1064</v>
      </c>
      <c r="Q141" s="303" t="s">
        <v>1064</v>
      </c>
      <c r="R141" s="303" t="s">
        <v>1064</v>
      </c>
      <c r="S141" s="303" t="s">
        <v>1064</v>
      </c>
    </row>
    <row r="142" spans="1:19" s="73" customFormat="1" ht="38.25" customHeight="1">
      <c r="A142" s="69" t="s">
        <v>98</v>
      </c>
      <c r="B142" s="70" t="s">
        <v>217</v>
      </c>
      <c r="C142" s="70" t="s">
        <v>100</v>
      </c>
      <c r="D142" s="70" t="s">
        <v>41</v>
      </c>
      <c r="E142" s="71"/>
      <c r="F142" s="71"/>
      <c r="G142" s="231"/>
      <c r="H142" s="231"/>
      <c r="I142" s="69" t="s">
        <v>289</v>
      </c>
      <c r="J142" s="69" t="s">
        <v>290</v>
      </c>
      <c r="K142" s="291" t="s">
        <v>355</v>
      </c>
      <c r="L142" s="293" t="s">
        <v>1496</v>
      </c>
      <c r="M142" s="291" t="s">
        <v>1163</v>
      </c>
      <c r="N142" s="291" t="s">
        <v>1349</v>
      </c>
      <c r="O142" s="303">
        <v>124</v>
      </c>
      <c r="P142" s="303" t="s">
        <v>1064</v>
      </c>
      <c r="Q142" s="303" t="s">
        <v>1064</v>
      </c>
      <c r="R142" s="303" t="s">
        <v>1064</v>
      </c>
      <c r="S142" s="303" t="s">
        <v>1064</v>
      </c>
    </row>
    <row r="143" spans="1:19" s="73" customFormat="1" ht="12.75" customHeight="1">
      <c r="A143" s="69" t="s">
        <v>98</v>
      </c>
      <c r="B143" s="70" t="s">
        <v>217</v>
      </c>
      <c r="C143" s="70" t="s">
        <v>101</v>
      </c>
      <c r="D143" s="70" t="s">
        <v>41</v>
      </c>
      <c r="E143" s="71"/>
      <c r="F143" s="71"/>
      <c r="G143" s="231"/>
      <c r="H143" s="231"/>
      <c r="I143" s="97" t="s">
        <v>707</v>
      </c>
      <c r="J143" s="97" t="s">
        <v>693</v>
      </c>
      <c r="K143" s="291" t="s">
        <v>341</v>
      </c>
      <c r="L143" s="293" t="s">
        <v>1497</v>
      </c>
      <c r="M143" s="291" t="s">
        <v>1164</v>
      </c>
      <c r="N143" s="291" t="s">
        <v>1350</v>
      </c>
      <c r="O143" s="303">
        <v>125</v>
      </c>
      <c r="P143" s="303" t="s">
        <v>1064</v>
      </c>
      <c r="Q143" s="303" t="s">
        <v>1064</v>
      </c>
      <c r="R143" s="303" t="s">
        <v>1064</v>
      </c>
      <c r="S143" s="303" t="s">
        <v>1064</v>
      </c>
    </row>
    <row r="144" spans="1:19" s="73" customFormat="1" ht="12.75" customHeight="1">
      <c r="A144" s="69" t="s">
        <v>98</v>
      </c>
      <c r="B144" s="70" t="s">
        <v>217</v>
      </c>
      <c r="C144" s="70" t="s">
        <v>102</v>
      </c>
      <c r="D144" s="70" t="s">
        <v>41</v>
      </c>
      <c r="E144" s="71"/>
      <c r="F144" s="71"/>
      <c r="G144" s="231"/>
      <c r="H144" s="231"/>
      <c r="I144" s="69" t="s">
        <v>694</v>
      </c>
      <c r="J144" s="69" t="s">
        <v>138</v>
      </c>
      <c r="K144" s="291" t="s">
        <v>392</v>
      </c>
      <c r="L144" s="291" t="s">
        <v>291</v>
      </c>
      <c r="M144" s="291" t="s">
        <v>1165</v>
      </c>
      <c r="N144" s="291" t="s">
        <v>694</v>
      </c>
      <c r="O144" s="303">
        <v>126</v>
      </c>
      <c r="P144" s="303" t="s">
        <v>1064</v>
      </c>
      <c r="Q144" s="303" t="s">
        <v>1064</v>
      </c>
      <c r="R144" s="303" t="s">
        <v>1064</v>
      </c>
      <c r="S144" s="303" t="s">
        <v>1064</v>
      </c>
    </row>
    <row r="145" spans="1:19" s="73" customFormat="1" ht="38.25" customHeight="1">
      <c r="A145" s="69" t="s">
        <v>544</v>
      </c>
      <c r="B145" s="70" t="s">
        <v>217</v>
      </c>
      <c r="C145" s="70" t="s">
        <v>465</v>
      </c>
      <c r="D145" s="70" t="s">
        <v>41</v>
      </c>
      <c r="E145" s="71"/>
      <c r="F145" s="71"/>
      <c r="G145" s="231"/>
      <c r="H145" s="231"/>
      <c r="I145" s="69" t="s">
        <v>543</v>
      </c>
      <c r="J145" s="69" t="s">
        <v>464</v>
      </c>
      <c r="K145" s="295" t="s">
        <v>352</v>
      </c>
      <c r="L145" s="293" t="s">
        <v>1498</v>
      </c>
      <c r="M145" s="291" t="s">
        <v>1166</v>
      </c>
      <c r="N145" s="295" t="s">
        <v>1351</v>
      </c>
      <c r="O145" s="303">
        <v>127</v>
      </c>
      <c r="P145" s="303" t="s">
        <v>1064</v>
      </c>
      <c r="Q145" s="303" t="s">
        <v>1064</v>
      </c>
      <c r="R145" s="303" t="s">
        <v>1064</v>
      </c>
      <c r="S145" s="303" t="s">
        <v>1064</v>
      </c>
    </row>
    <row r="146" spans="1:19" s="73" customFormat="1" ht="51" customHeight="1">
      <c r="A146" s="69" t="s">
        <v>544</v>
      </c>
      <c r="B146" s="70" t="s">
        <v>217</v>
      </c>
      <c r="C146" s="70" t="s">
        <v>466</v>
      </c>
      <c r="D146" s="70" t="s">
        <v>41</v>
      </c>
      <c r="E146" s="71"/>
      <c r="F146" s="71"/>
      <c r="G146" s="231"/>
      <c r="H146" s="231"/>
      <c r="I146" s="69" t="s">
        <v>468</v>
      </c>
      <c r="J146" s="69" t="s">
        <v>467</v>
      </c>
      <c r="K146" s="303" t="s">
        <v>1567</v>
      </c>
      <c r="L146" s="293" t="s">
        <v>1499</v>
      </c>
      <c r="M146" s="291" t="s">
        <v>1167</v>
      </c>
      <c r="N146" s="295" t="s">
        <v>1352</v>
      </c>
      <c r="O146" s="303">
        <v>128</v>
      </c>
      <c r="P146" s="303" t="s">
        <v>1064</v>
      </c>
      <c r="Q146" s="303" t="s">
        <v>1064</v>
      </c>
      <c r="R146" s="303" t="s">
        <v>1064</v>
      </c>
      <c r="S146" s="303" t="s">
        <v>1064</v>
      </c>
    </row>
    <row r="147" spans="1:19" s="73" customFormat="1" ht="12.75" customHeight="1">
      <c r="A147" s="69" t="s">
        <v>544</v>
      </c>
      <c r="B147" s="70" t="s">
        <v>217</v>
      </c>
      <c r="C147" s="70" t="s">
        <v>469</v>
      </c>
      <c r="D147" s="70" t="s">
        <v>41</v>
      </c>
      <c r="E147" s="71"/>
      <c r="F147" s="71"/>
      <c r="G147" s="231"/>
      <c r="H147" s="231"/>
      <c r="I147" s="69" t="s">
        <v>694</v>
      </c>
      <c r="J147" s="69" t="s">
        <v>138</v>
      </c>
      <c r="K147" s="291" t="s">
        <v>392</v>
      </c>
      <c r="L147" s="291" t="s">
        <v>291</v>
      </c>
      <c r="M147" s="291" t="s">
        <v>1165</v>
      </c>
      <c r="N147" s="291" t="s">
        <v>694</v>
      </c>
      <c r="O147" s="303">
        <v>129</v>
      </c>
      <c r="P147" s="303" t="s">
        <v>1064</v>
      </c>
      <c r="Q147" s="303" t="s">
        <v>1064</v>
      </c>
      <c r="R147" s="303" t="s">
        <v>1064</v>
      </c>
      <c r="S147" s="303" t="s">
        <v>1064</v>
      </c>
    </row>
    <row r="148" spans="1:19" s="73" customFormat="1" ht="25.5" customHeight="1">
      <c r="A148" s="69" t="s">
        <v>292</v>
      </c>
      <c r="B148" s="70" t="s">
        <v>293</v>
      </c>
      <c r="C148" s="70" t="s">
        <v>294</v>
      </c>
      <c r="D148" s="70" t="s">
        <v>41</v>
      </c>
      <c r="E148" s="71"/>
      <c r="F148" s="71"/>
      <c r="G148" s="231"/>
      <c r="H148" s="231"/>
      <c r="I148" s="72" t="s">
        <v>861</v>
      </c>
      <c r="J148" s="72" t="s">
        <v>860</v>
      </c>
      <c r="K148" s="95" t="str">
        <f>I148</f>
        <v>http://project-lead.eu/gantt-chart-maker/</v>
      </c>
      <c r="L148" s="95" t="str">
        <f t="shared" ref="L148" si="20">I148</f>
        <v>http://project-lead.eu/gantt-chart-maker/</v>
      </c>
      <c r="M148" s="95" t="str">
        <f>I148</f>
        <v>http://project-lead.eu/gantt-chart-maker/</v>
      </c>
      <c r="N148" s="95" t="str">
        <f>I148</f>
        <v>http://project-lead.eu/gantt-chart-maker/</v>
      </c>
      <c r="O148" s="290">
        <v>136</v>
      </c>
      <c r="P148" s="303" t="s">
        <v>1064</v>
      </c>
      <c r="Q148" s="303" t="s">
        <v>1064</v>
      </c>
      <c r="R148" s="303" t="s">
        <v>1064</v>
      </c>
      <c r="S148" s="303" t="s">
        <v>1064</v>
      </c>
    </row>
    <row r="149" spans="1:19" s="73" customFormat="1" ht="25.5" customHeight="1">
      <c r="A149" s="69" t="s">
        <v>1605</v>
      </c>
      <c r="B149" s="70" t="s">
        <v>214</v>
      </c>
      <c r="C149" s="96"/>
      <c r="D149" s="71" t="s">
        <v>66</v>
      </c>
      <c r="E149" s="67">
        <f>ROW(HideValues!$M106)</f>
        <v>106</v>
      </c>
      <c r="F149" s="67">
        <f>COLUMN(HideValues!$M106)</f>
        <v>13</v>
      </c>
      <c r="G149" s="231">
        <v>106</v>
      </c>
      <c r="H149" s="231">
        <v>13</v>
      </c>
      <c r="I149" s="72" t="s">
        <v>295</v>
      </c>
      <c r="J149" s="72" t="s">
        <v>296</v>
      </c>
      <c r="K149" s="108" t="s">
        <v>295</v>
      </c>
      <c r="L149" s="108" t="s">
        <v>295</v>
      </c>
      <c r="M149" s="95" t="str">
        <f t="shared" ref="M149:M154" si="21">I149</f>
        <v>http://ammaranass.polldaddy.com/s/satisfactionsurvey</v>
      </c>
      <c r="N149" s="95" t="str">
        <f t="shared" ref="N149:N154" si="22">I149</f>
        <v>http://ammaranass.polldaddy.com/s/satisfactionsurvey</v>
      </c>
      <c r="O149" s="290">
        <v>137</v>
      </c>
      <c r="P149" s="303" t="s">
        <v>1064</v>
      </c>
      <c r="Q149" s="303" t="s">
        <v>1064</v>
      </c>
      <c r="R149" s="303" t="s">
        <v>1064</v>
      </c>
      <c r="S149" s="303" t="s">
        <v>1064</v>
      </c>
    </row>
    <row r="150" spans="1:19" s="73" customFormat="1" ht="25.5" customHeight="1">
      <c r="A150" s="69" t="s">
        <v>212</v>
      </c>
      <c r="B150" s="70" t="s">
        <v>293</v>
      </c>
      <c r="C150" s="70" t="s">
        <v>210</v>
      </c>
      <c r="D150" s="70" t="s">
        <v>41</v>
      </c>
      <c r="E150" s="71"/>
      <c r="F150" s="71"/>
      <c r="G150" s="231"/>
      <c r="H150" s="231"/>
      <c r="I150" s="95" t="str">
        <f>I149</f>
        <v>http://ammaranass.polldaddy.com/s/satisfactionsurvey</v>
      </c>
      <c r="J150" s="95" t="str">
        <f>J149</f>
        <v>http://ammaranass.polldaddy.com/s/enquete-de-satisfaction</v>
      </c>
      <c r="K150" s="108" t="s">
        <v>295</v>
      </c>
      <c r="L150" s="108" t="s">
        <v>295</v>
      </c>
      <c r="M150" s="95" t="str">
        <f t="shared" si="21"/>
        <v>http://ammaranass.polldaddy.com/s/satisfactionsurvey</v>
      </c>
      <c r="N150" s="95" t="str">
        <f t="shared" si="22"/>
        <v>http://ammaranass.polldaddy.com/s/satisfactionsurvey</v>
      </c>
      <c r="O150" s="290">
        <v>138</v>
      </c>
      <c r="P150" s="303" t="s">
        <v>1064</v>
      </c>
      <c r="Q150" s="303" t="s">
        <v>1064</v>
      </c>
      <c r="R150" s="303" t="s">
        <v>1064</v>
      </c>
      <c r="S150" s="303" t="s">
        <v>1064</v>
      </c>
    </row>
    <row r="151" spans="1:19" s="73" customFormat="1" ht="25.5" customHeight="1">
      <c r="A151" s="69" t="s">
        <v>297</v>
      </c>
      <c r="B151" s="70" t="s">
        <v>293</v>
      </c>
      <c r="C151" s="70" t="s">
        <v>298</v>
      </c>
      <c r="D151" s="70" t="s">
        <v>41</v>
      </c>
      <c r="E151" s="71"/>
      <c r="F151" s="71"/>
      <c r="G151" s="231"/>
      <c r="H151" s="231"/>
      <c r="I151" s="95" t="str">
        <f>$I$148</f>
        <v>http://project-lead.eu/gantt-chart-maker/</v>
      </c>
      <c r="J151" s="95" t="str">
        <f>$J$148</f>
        <v>http://project-lead.eu/diagramme-de-gantt/</v>
      </c>
      <c r="K151" s="95" t="str">
        <f>I151</f>
        <v>http://project-lead.eu/gantt-chart-maker/</v>
      </c>
      <c r="L151" s="95" t="str">
        <f>I151</f>
        <v>http://project-lead.eu/gantt-chart-maker/</v>
      </c>
      <c r="M151" s="95" t="str">
        <f t="shared" si="21"/>
        <v>http://project-lead.eu/gantt-chart-maker/</v>
      </c>
      <c r="N151" s="95" t="str">
        <f t="shared" si="22"/>
        <v>http://project-lead.eu/gantt-chart-maker/</v>
      </c>
      <c r="O151" s="290">
        <v>139</v>
      </c>
      <c r="P151" s="303" t="s">
        <v>1064</v>
      </c>
      <c r="Q151" s="303" t="s">
        <v>1064</v>
      </c>
      <c r="R151" s="303" t="s">
        <v>1064</v>
      </c>
      <c r="S151" s="303" t="s">
        <v>1064</v>
      </c>
    </row>
    <row r="152" spans="1:19" s="73" customFormat="1" ht="25.5" customHeight="1">
      <c r="A152" s="69" t="s">
        <v>299</v>
      </c>
      <c r="B152" s="70" t="s">
        <v>293</v>
      </c>
      <c r="C152" s="70" t="s">
        <v>300</v>
      </c>
      <c r="D152" s="70" t="s">
        <v>41</v>
      </c>
      <c r="E152" s="71"/>
      <c r="F152" s="71"/>
      <c r="G152" s="231"/>
      <c r="H152" s="231"/>
      <c r="I152" s="72" t="s">
        <v>858</v>
      </c>
      <c r="J152" s="72" t="s">
        <v>859</v>
      </c>
      <c r="K152" s="95" t="str">
        <f>I152</f>
        <v>http://project-lead.eu/support-excel-gantt-chart-maker</v>
      </c>
      <c r="L152" s="95" t="str">
        <f>I152</f>
        <v>http://project-lead.eu/support-excel-gantt-chart-maker</v>
      </c>
      <c r="M152" s="95" t="str">
        <f t="shared" si="21"/>
        <v>http://project-lead.eu/support-excel-gantt-chart-maker</v>
      </c>
      <c r="N152" s="95" t="str">
        <f t="shared" si="22"/>
        <v>http://project-lead.eu/support-excel-gantt-chart-maker</v>
      </c>
      <c r="O152" s="290">
        <v>140</v>
      </c>
      <c r="P152" s="303" t="s">
        <v>1064</v>
      </c>
      <c r="Q152" s="303" t="s">
        <v>1064</v>
      </c>
      <c r="R152" s="303" t="s">
        <v>1064</v>
      </c>
      <c r="S152" s="303" t="s">
        <v>1064</v>
      </c>
    </row>
    <row r="153" spans="1:19" s="73" customFormat="1" ht="25.5" customHeight="1">
      <c r="A153" s="69" t="s">
        <v>301</v>
      </c>
      <c r="B153" s="70" t="s">
        <v>293</v>
      </c>
      <c r="C153" s="70" t="s">
        <v>302</v>
      </c>
      <c r="D153" s="70" t="s">
        <v>41</v>
      </c>
      <c r="E153" s="71"/>
      <c r="F153" s="71"/>
      <c r="G153" s="231"/>
      <c r="H153" s="231"/>
      <c r="I153" s="95" t="str">
        <f>$I$148</f>
        <v>http://project-lead.eu/gantt-chart-maker/</v>
      </c>
      <c r="J153" s="95" t="str">
        <f>$J$148</f>
        <v>http://project-lead.eu/diagramme-de-gantt/</v>
      </c>
      <c r="K153" s="95" t="str">
        <f>I153</f>
        <v>http://project-lead.eu/gantt-chart-maker/</v>
      </c>
      <c r="L153" s="95" t="str">
        <f>I153</f>
        <v>http://project-lead.eu/gantt-chart-maker/</v>
      </c>
      <c r="M153" s="95" t="str">
        <f t="shared" si="21"/>
        <v>http://project-lead.eu/gantt-chart-maker/</v>
      </c>
      <c r="N153" s="95" t="str">
        <f t="shared" si="22"/>
        <v>http://project-lead.eu/gantt-chart-maker/</v>
      </c>
      <c r="O153" s="290">
        <v>141</v>
      </c>
      <c r="P153" s="303" t="s">
        <v>1064</v>
      </c>
      <c r="Q153" s="303" t="s">
        <v>1064</v>
      </c>
      <c r="R153" s="303" t="s">
        <v>1064</v>
      </c>
      <c r="S153" s="303" t="s">
        <v>1064</v>
      </c>
    </row>
    <row r="154" spans="1:19" s="73" customFormat="1" ht="25.5" customHeight="1">
      <c r="A154" s="69" t="s">
        <v>303</v>
      </c>
      <c r="B154" s="70" t="s">
        <v>293</v>
      </c>
      <c r="C154" s="96" t="s">
        <v>304</v>
      </c>
      <c r="D154" s="70" t="s">
        <v>41</v>
      </c>
      <c r="E154" s="71"/>
      <c r="F154" s="71"/>
      <c r="G154" s="231"/>
      <c r="H154" s="231"/>
      <c r="I154" s="95" t="str">
        <f>$I$148</f>
        <v>http://project-lead.eu/gantt-chart-maker/</v>
      </c>
      <c r="J154" s="95" t="str">
        <f>$J$148</f>
        <v>http://project-lead.eu/diagramme-de-gantt/</v>
      </c>
      <c r="K154" s="95" t="str">
        <f>I154</f>
        <v>http://project-lead.eu/gantt-chart-maker/</v>
      </c>
      <c r="L154" s="95" t="str">
        <f>I154</f>
        <v>http://project-lead.eu/gantt-chart-maker/</v>
      </c>
      <c r="M154" s="95" t="str">
        <f t="shared" si="21"/>
        <v>http://project-lead.eu/gantt-chart-maker/</v>
      </c>
      <c r="N154" s="95" t="str">
        <f t="shared" si="22"/>
        <v>http://project-lead.eu/gantt-chart-maker/</v>
      </c>
      <c r="O154" s="290">
        <v>142</v>
      </c>
      <c r="P154" s="303" t="s">
        <v>1064</v>
      </c>
      <c r="Q154" s="303" t="s">
        <v>1064</v>
      </c>
      <c r="R154" s="303" t="s">
        <v>1064</v>
      </c>
      <c r="S154" s="303" t="s">
        <v>1064</v>
      </c>
    </row>
    <row r="155" spans="1:19" ht="12.75" customHeight="1">
      <c r="A155" s="69" t="s">
        <v>682</v>
      </c>
      <c r="B155" s="96" t="s">
        <v>214</v>
      </c>
      <c r="C155" s="96"/>
      <c r="D155" s="71" t="s">
        <v>66</v>
      </c>
      <c r="E155" s="67">
        <f>ROW(HideValues!C126)</f>
        <v>126</v>
      </c>
      <c r="F155" s="67">
        <f>COLUMN(HideValues!C126)</f>
        <v>3</v>
      </c>
      <c r="G155" s="231">
        <v>126</v>
      </c>
      <c r="H155" s="231">
        <v>3</v>
      </c>
      <c r="I155" s="126" t="s">
        <v>669</v>
      </c>
      <c r="J155" s="192" t="s">
        <v>681</v>
      </c>
      <c r="K155" s="294" t="s">
        <v>403</v>
      </c>
      <c r="L155" s="293" t="s">
        <v>1500</v>
      </c>
      <c r="M155" s="291" t="s">
        <v>1168</v>
      </c>
      <c r="N155" s="294" t="s">
        <v>1353</v>
      </c>
      <c r="O155" s="303">
        <v>143</v>
      </c>
      <c r="P155" s="303" t="s">
        <v>1064</v>
      </c>
      <c r="Q155" s="303" t="s">
        <v>1064</v>
      </c>
      <c r="R155" s="303" t="s">
        <v>1064</v>
      </c>
      <c r="S155" s="303" t="s">
        <v>1064</v>
      </c>
    </row>
    <row r="156" spans="1:19" ht="12.75" customHeight="1">
      <c r="A156" s="69" t="s">
        <v>682</v>
      </c>
      <c r="B156" s="96" t="s">
        <v>214</v>
      </c>
      <c r="C156" s="96"/>
      <c r="D156" s="71" t="s">
        <v>66</v>
      </c>
      <c r="E156" s="67">
        <f>ROW(HideValues!C127)</f>
        <v>127</v>
      </c>
      <c r="F156" s="67">
        <f>COLUMN(HideValues!C127)</f>
        <v>3</v>
      </c>
      <c r="G156" s="231">
        <v>127</v>
      </c>
      <c r="H156" s="231">
        <v>3</v>
      </c>
      <c r="I156" s="126" t="s">
        <v>545</v>
      </c>
      <c r="J156" s="192" t="s">
        <v>407</v>
      </c>
      <c r="K156" s="303" t="s">
        <v>1568</v>
      </c>
      <c r="L156" s="293" t="s">
        <v>1501</v>
      </c>
      <c r="M156" s="291" t="s">
        <v>1169</v>
      </c>
      <c r="N156" s="294" t="s">
        <v>1354</v>
      </c>
      <c r="O156" s="303">
        <v>144</v>
      </c>
      <c r="P156" s="303" t="s">
        <v>1064</v>
      </c>
      <c r="Q156" s="303" t="s">
        <v>1064</v>
      </c>
      <c r="R156" s="303" t="s">
        <v>1064</v>
      </c>
      <c r="S156" s="303" t="s">
        <v>1064</v>
      </c>
    </row>
    <row r="157" spans="1:19" ht="12.75" customHeight="1">
      <c r="A157" s="69" t="s">
        <v>682</v>
      </c>
      <c r="B157" s="96" t="s">
        <v>214</v>
      </c>
      <c r="C157" s="96"/>
      <c r="D157" s="71" t="s">
        <v>66</v>
      </c>
      <c r="E157" s="67">
        <f>ROW(HideValues!C128)</f>
        <v>128</v>
      </c>
      <c r="F157" s="67">
        <f>COLUMN(HideValues!C128)</f>
        <v>3</v>
      </c>
      <c r="G157" s="231">
        <v>128</v>
      </c>
      <c r="H157" s="231">
        <v>3</v>
      </c>
      <c r="I157" s="126" t="s">
        <v>397</v>
      </c>
      <c r="J157" s="192" t="s">
        <v>408</v>
      </c>
      <c r="K157" s="303" t="s">
        <v>1569</v>
      </c>
      <c r="L157" s="307" t="s">
        <v>408</v>
      </c>
      <c r="M157" s="291" t="s">
        <v>1170</v>
      </c>
      <c r="N157" s="294" t="s">
        <v>1355</v>
      </c>
      <c r="O157" s="303">
        <v>145</v>
      </c>
      <c r="P157" s="303" t="s">
        <v>1064</v>
      </c>
      <c r="Q157" s="303" t="s">
        <v>1064</v>
      </c>
      <c r="R157" s="303" t="s">
        <v>1064</v>
      </c>
      <c r="S157" s="303" t="s">
        <v>1064</v>
      </c>
    </row>
    <row r="158" spans="1:19" ht="12.75" customHeight="1">
      <c r="A158" s="69" t="s">
        <v>682</v>
      </c>
      <c r="B158" s="96" t="s">
        <v>214</v>
      </c>
      <c r="C158" s="96"/>
      <c r="D158" s="71" t="s">
        <v>66</v>
      </c>
      <c r="E158" s="67">
        <f>ROW(HideValues!C129)</f>
        <v>129</v>
      </c>
      <c r="F158" s="67">
        <f>COLUMN(HideValues!C129)</f>
        <v>3</v>
      </c>
      <c r="G158" s="231">
        <v>129</v>
      </c>
      <c r="H158" s="231">
        <v>3</v>
      </c>
      <c r="I158" s="126" t="s">
        <v>457</v>
      </c>
      <c r="J158" s="192" t="s">
        <v>457</v>
      </c>
      <c r="K158" s="294" t="s">
        <v>459</v>
      </c>
      <c r="L158" s="294" t="s">
        <v>460</v>
      </c>
      <c r="M158" s="291" t="s">
        <v>1171</v>
      </c>
      <c r="N158" s="294" t="s">
        <v>1356</v>
      </c>
      <c r="O158" s="303">
        <v>146</v>
      </c>
      <c r="P158" s="303" t="s">
        <v>1064</v>
      </c>
      <c r="Q158" s="303" t="s">
        <v>1064</v>
      </c>
      <c r="R158" s="303" t="s">
        <v>1064</v>
      </c>
      <c r="S158" s="303" t="s">
        <v>1064</v>
      </c>
    </row>
    <row r="159" spans="1:19" ht="12.75" customHeight="1">
      <c r="A159" s="69" t="s">
        <v>682</v>
      </c>
      <c r="B159" s="96" t="s">
        <v>214</v>
      </c>
      <c r="C159" s="96"/>
      <c r="D159" s="71" t="s">
        <v>66</v>
      </c>
      <c r="E159" s="67">
        <f>ROW(HideValues!C130)</f>
        <v>130</v>
      </c>
      <c r="F159" s="67">
        <f>COLUMN(HideValues!C130)</f>
        <v>3</v>
      </c>
      <c r="G159" s="231">
        <v>130</v>
      </c>
      <c r="H159" s="231">
        <v>3</v>
      </c>
      <c r="I159" s="126" t="s">
        <v>828</v>
      </c>
      <c r="J159" s="192" t="s">
        <v>895</v>
      </c>
      <c r="K159" s="294" t="s">
        <v>896</v>
      </c>
      <c r="L159" s="293" t="s">
        <v>1502</v>
      </c>
      <c r="M159" s="291" t="s">
        <v>896</v>
      </c>
      <c r="N159" s="294" t="s">
        <v>1357</v>
      </c>
      <c r="O159" s="303">
        <v>147</v>
      </c>
      <c r="P159" s="303" t="s">
        <v>1064</v>
      </c>
      <c r="Q159" s="303" t="s">
        <v>1064</v>
      </c>
      <c r="R159" s="303" t="s">
        <v>1064</v>
      </c>
      <c r="S159" s="303" t="s">
        <v>1064</v>
      </c>
    </row>
    <row r="160" spans="1:19" ht="12.75" customHeight="1">
      <c r="A160" s="69" t="s">
        <v>682</v>
      </c>
      <c r="B160" s="96" t="s">
        <v>214</v>
      </c>
      <c r="C160" s="96"/>
      <c r="D160" s="71" t="s">
        <v>66</v>
      </c>
      <c r="E160" s="67">
        <f>ROW(HideValues!C131)</f>
        <v>131</v>
      </c>
      <c r="F160" s="67">
        <f>COLUMN(HideValues!C131)</f>
        <v>3</v>
      </c>
      <c r="G160" s="231">
        <v>131</v>
      </c>
      <c r="H160" s="231">
        <v>3</v>
      </c>
      <c r="I160" s="126" t="s">
        <v>398</v>
      </c>
      <c r="J160" s="192" t="s">
        <v>409</v>
      </c>
      <c r="K160" s="294" t="s">
        <v>398</v>
      </c>
      <c r="L160" s="293" t="s">
        <v>1503</v>
      </c>
      <c r="M160" s="291" t="s">
        <v>1172</v>
      </c>
      <c r="N160" s="294" t="s">
        <v>1358</v>
      </c>
      <c r="O160" s="303">
        <v>148</v>
      </c>
      <c r="P160" s="303" t="s">
        <v>1064</v>
      </c>
      <c r="Q160" s="303" t="s">
        <v>1064</v>
      </c>
      <c r="R160" s="303" t="s">
        <v>1064</v>
      </c>
      <c r="S160" s="303" t="s">
        <v>1064</v>
      </c>
    </row>
    <row r="161" spans="1:19" ht="12.75" customHeight="1">
      <c r="A161" s="69" t="s">
        <v>682</v>
      </c>
      <c r="B161" s="96" t="s">
        <v>214</v>
      </c>
      <c r="C161" s="82"/>
      <c r="D161" s="71" t="s">
        <v>66</v>
      </c>
      <c r="E161" s="67">
        <f>ROW(HideValues!C132)</f>
        <v>132</v>
      </c>
      <c r="F161" s="67">
        <f>COLUMN(HideValues!C132)</f>
        <v>3</v>
      </c>
      <c r="G161" s="231">
        <v>132</v>
      </c>
      <c r="H161" s="231">
        <v>3</v>
      </c>
      <c r="I161" s="82" t="s">
        <v>399</v>
      </c>
      <c r="J161" s="192" t="s">
        <v>410</v>
      </c>
      <c r="K161" s="303" t="s">
        <v>1570</v>
      </c>
      <c r="L161" s="293" t="s">
        <v>1504</v>
      </c>
      <c r="M161" s="291" t="s">
        <v>1173</v>
      </c>
      <c r="N161" s="294" t="s">
        <v>1359</v>
      </c>
      <c r="O161" s="303">
        <v>149</v>
      </c>
      <c r="P161" s="303" t="s">
        <v>1064</v>
      </c>
      <c r="Q161" s="303" t="s">
        <v>1064</v>
      </c>
      <c r="R161" s="303" t="s">
        <v>1064</v>
      </c>
      <c r="S161" s="303" t="s">
        <v>1064</v>
      </c>
    </row>
    <row r="162" spans="1:19" ht="14.25" customHeight="1">
      <c r="A162" s="69" t="s">
        <v>682</v>
      </c>
      <c r="B162" s="96" t="s">
        <v>214</v>
      </c>
      <c r="C162" s="82"/>
      <c r="D162" s="71" t="s">
        <v>66</v>
      </c>
      <c r="E162" s="67">
        <f>ROW(HideValues!C133)</f>
        <v>133</v>
      </c>
      <c r="F162" s="67">
        <f>COLUMN(HideValues!C133)</f>
        <v>3</v>
      </c>
      <c r="G162" s="231">
        <v>133</v>
      </c>
      <c r="H162" s="231">
        <v>3</v>
      </c>
      <c r="I162" s="126" t="s">
        <v>401</v>
      </c>
      <c r="J162" s="192" t="s">
        <v>411</v>
      </c>
      <c r="K162" s="294" t="s">
        <v>404</v>
      </c>
      <c r="L162" s="293" t="s">
        <v>1505</v>
      </c>
      <c r="M162" s="291" t="s">
        <v>1174</v>
      </c>
      <c r="N162" s="294" t="s">
        <v>1360</v>
      </c>
      <c r="O162" s="303">
        <v>150</v>
      </c>
      <c r="P162" s="303" t="s">
        <v>1064</v>
      </c>
      <c r="Q162" s="303" t="s">
        <v>1064</v>
      </c>
      <c r="R162" s="303" t="s">
        <v>1064</v>
      </c>
      <c r="S162" s="303" t="s">
        <v>1064</v>
      </c>
    </row>
    <row r="163" spans="1:19" ht="14.25" customHeight="1">
      <c r="A163" s="69" t="s">
        <v>682</v>
      </c>
      <c r="B163" s="96" t="s">
        <v>214</v>
      </c>
      <c r="C163" s="82"/>
      <c r="D163" s="71" t="s">
        <v>66</v>
      </c>
      <c r="E163" s="67">
        <f>ROW(HideValues!C134)</f>
        <v>134</v>
      </c>
      <c r="F163" s="67">
        <f>COLUMN(HideValues!C134)</f>
        <v>3</v>
      </c>
      <c r="G163" s="231">
        <v>134</v>
      </c>
      <c r="H163" s="231">
        <v>3</v>
      </c>
      <c r="I163" s="193" t="s">
        <v>400</v>
      </c>
      <c r="J163" s="192" t="s">
        <v>412</v>
      </c>
      <c r="K163" s="294" t="s">
        <v>405</v>
      </c>
      <c r="L163" s="293" t="s">
        <v>1506</v>
      </c>
      <c r="M163" s="291" t="s">
        <v>1175</v>
      </c>
      <c r="N163" s="294" t="s">
        <v>1361</v>
      </c>
      <c r="O163" s="303">
        <v>151</v>
      </c>
      <c r="P163" s="303" t="s">
        <v>1064</v>
      </c>
      <c r="Q163" s="303" t="s">
        <v>1064</v>
      </c>
      <c r="R163" s="303" t="s">
        <v>1064</v>
      </c>
      <c r="S163" s="303" t="s">
        <v>1064</v>
      </c>
    </row>
    <row r="164" spans="1:19" ht="12.75" customHeight="1">
      <c r="A164" s="69" t="s">
        <v>682</v>
      </c>
      <c r="B164" s="96" t="s">
        <v>214</v>
      </c>
      <c r="C164" s="82"/>
      <c r="D164" s="71" t="s">
        <v>66</v>
      </c>
      <c r="E164" s="67">
        <f>ROW(HideValues!C135)</f>
        <v>135</v>
      </c>
      <c r="F164" s="67">
        <f>COLUMN(HideValues!C135)</f>
        <v>3</v>
      </c>
      <c r="G164" s="231">
        <v>135</v>
      </c>
      <c r="H164" s="231">
        <v>3</v>
      </c>
      <c r="I164" s="193" t="s">
        <v>402</v>
      </c>
      <c r="J164" s="194" t="s">
        <v>413</v>
      </c>
      <c r="K164" s="292" t="s">
        <v>406</v>
      </c>
      <c r="L164" s="293" t="s">
        <v>1507</v>
      </c>
      <c r="M164" s="291" t="s">
        <v>1176</v>
      </c>
      <c r="N164" s="292" t="s">
        <v>1362</v>
      </c>
      <c r="O164" s="303">
        <v>152</v>
      </c>
      <c r="P164" s="303" t="s">
        <v>1064</v>
      </c>
      <c r="Q164" s="303" t="s">
        <v>1064</v>
      </c>
      <c r="R164" s="303" t="s">
        <v>1064</v>
      </c>
      <c r="S164" s="303" t="s">
        <v>1064</v>
      </c>
    </row>
    <row r="165" spans="1:19" ht="12.75" customHeight="1">
      <c r="A165" s="69" t="s">
        <v>682</v>
      </c>
      <c r="B165" s="96" t="s">
        <v>214</v>
      </c>
      <c r="C165" s="82"/>
      <c r="D165" s="71" t="s">
        <v>66</v>
      </c>
      <c r="E165" s="67">
        <f>ROW(HideValues!C136)</f>
        <v>136</v>
      </c>
      <c r="F165" s="67">
        <f>COLUMN(HideValues!C136)</f>
        <v>3</v>
      </c>
      <c r="G165" s="231">
        <v>136</v>
      </c>
      <c r="H165" s="231">
        <v>3</v>
      </c>
      <c r="I165" s="193" t="s">
        <v>683</v>
      </c>
      <c r="J165" s="194" t="s">
        <v>458</v>
      </c>
      <c r="K165" s="303" t="s">
        <v>1571</v>
      </c>
      <c r="L165" s="293" t="s">
        <v>1508</v>
      </c>
      <c r="M165" s="291" t="s">
        <v>1177</v>
      </c>
      <c r="N165" s="292" t="s">
        <v>1363</v>
      </c>
      <c r="O165" s="303">
        <v>153</v>
      </c>
      <c r="P165" s="303" t="s">
        <v>1064</v>
      </c>
      <c r="Q165" s="303" t="s">
        <v>1064</v>
      </c>
      <c r="R165" s="303" t="s">
        <v>1064</v>
      </c>
      <c r="S165" s="303" t="s">
        <v>1064</v>
      </c>
    </row>
    <row r="166" spans="1:19" ht="12.75" customHeight="1">
      <c r="A166" s="69" t="s">
        <v>701</v>
      </c>
      <c r="B166" s="96" t="s">
        <v>214</v>
      </c>
      <c r="C166" s="96"/>
      <c r="D166" s="71" t="s">
        <v>66</v>
      </c>
      <c r="E166" s="67">
        <f>ROW(HideValues!C137)</f>
        <v>137</v>
      </c>
      <c r="F166" s="67">
        <f>COLUMN(HideValues!C137)</f>
        <v>3</v>
      </c>
      <c r="G166" s="231">
        <v>137</v>
      </c>
      <c r="H166" s="231">
        <v>3</v>
      </c>
      <c r="I166" s="97" t="s">
        <v>520</v>
      </c>
      <c r="J166" s="97" t="s">
        <v>666</v>
      </c>
      <c r="K166" s="291" t="s">
        <v>339</v>
      </c>
      <c r="L166" s="291" t="s">
        <v>704</v>
      </c>
      <c r="M166" s="291" t="s">
        <v>1178</v>
      </c>
      <c r="N166" s="291" t="s">
        <v>1364</v>
      </c>
      <c r="O166" s="303">
        <v>154</v>
      </c>
      <c r="P166" s="303" t="s">
        <v>1064</v>
      </c>
      <c r="Q166" s="303" t="s">
        <v>1064</v>
      </c>
      <c r="R166" s="303" t="s">
        <v>1064</v>
      </c>
      <c r="S166" s="303" t="s">
        <v>1064</v>
      </c>
    </row>
    <row r="167" spans="1:19" ht="12.75" customHeight="1">
      <c r="A167" s="69" t="s">
        <v>701</v>
      </c>
      <c r="B167" s="96" t="s">
        <v>214</v>
      </c>
      <c r="C167" s="96"/>
      <c r="D167" s="71" t="s">
        <v>66</v>
      </c>
      <c r="E167" s="67">
        <f>ROW(HideValues!C138)</f>
        <v>138</v>
      </c>
      <c r="F167" s="67">
        <f>COLUMN(HideValues!C138)</f>
        <v>3</v>
      </c>
      <c r="G167" s="231">
        <v>138</v>
      </c>
      <c r="H167" s="231">
        <v>3</v>
      </c>
      <c r="I167" s="69" t="str">
        <f>"You have the version " &amp; HideValues!$M$114</f>
        <v>You have the version 8.4 STARTER</v>
      </c>
      <c r="J167" s="69" t="str">
        <f>"Vous avez la version " &amp; HideValues!$M$114</f>
        <v>Vous avez la version 8.4 STARTER</v>
      </c>
      <c r="K167" s="291" t="str">
        <f>"Usted tiene la versión " &amp; HideValues!$M$114</f>
        <v>Usted tiene la versión 8.4 STARTER</v>
      </c>
      <c r="L167" s="293" t="str">
        <f>"Sie haben die Version " &amp; HideValues!$M$114</f>
        <v>Sie haben die Version 8.4 STARTER</v>
      </c>
      <c r="M167" s="291" t="s">
        <v>1179</v>
      </c>
      <c r="N167" s="291" t="s">
        <v>1365</v>
      </c>
      <c r="O167" s="303">
        <v>155</v>
      </c>
      <c r="P167" s="303" t="s">
        <v>1064</v>
      </c>
      <c r="Q167" s="303" t="s">
        <v>1064</v>
      </c>
      <c r="R167" s="303" t="s">
        <v>1064</v>
      </c>
      <c r="S167" s="303" t="s">
        <v>1064</v>
      </c>
    </row>
    <row r="168" spans="1:19" ht="63.75" customHeight="1">
      <c r="A168" s="69" t="s">
        <v>701</v>
      </c>
      <c r="B168" s="96" t="s">
        <v>214</v>
      </c>
      <c r="C168" s="82"/>
      <c r="D168" s="71" t="s">
        <v>66</v>
      </c>
      <c r="E168" s="67">
        <f>ROW(HideValues!C139)</f>
        <v>139</v>
      </c>
      <c r="F168" s="67">
        <f>COLUMN(HideValues!C139)</f>
        <v>3</v>
      </c>
      <c r="G168" s="231">
        <v>139</v>
      </c>
      <c r="H168" s="231">
        <v>3</v>
      </c>
      <c r="I168" s="76" t="s">
        <v>254</v>
      </c>
      <c r="J168" s="69" t="s">
        <v>97</v>
      </c>
      <c r="K168" s="291" t="s">
        <v>340</v>
      </c>
      <c r="L168" s="293" t="s">
        <v>1509</v>
      </c>
      <c r="M168" s="291" t="s">
        <v>1180</v>
      </c>
      <c r="N168" s="291" t="s">
        <v>1366</v>
      </c>
      <c r="O168" s="303">
        <v>156</v>
      </c>
      <c r="P168" s="303" t="s">
        <v>1064</v>
      </c>
      <c r="Q168" s="303" t="s">
        <v>1064</v>
      </c>
      <c r="R168" s="303" t="s">
        <v>1064</v>
      </c>
      <c r="S168" s="303" t="s">
        <v>1064</v>
      </c>
    </row>
    <row r="169" spans="1:19" ht="12.75" customHeight="1">
      <c r="A169" s="69" t="s">
        <v>701</v>
      </c>
      <c r="B169" s="96" t="s">
        <v>214</v>
      </c>
      <c r="C169" s="82"/>
      <c r="D169" s="71" t="s">
        <v>66</v>
      </c>
      <c r="E169" s="67">
        <f>ROW(HideValues!C140)</f>
        <v>140</v>
      </c>
      <c r="F169" s="67">
        <f>COLUMN(HideValues!C140)</f>
        <v>3</v>
      </c>
      <c r="G169" s="231">
        <v>140</v>
      </c>
      <c r="H169" s="231">
        <v>3</v>
      </c>
      <c r="I169" s="69" t="s">
        <v>255</v>
      </c>
      <c r="J169" s="69" t="s">
        <v>693</v>
      </c>
      <c r="K169" s="291" t="s">
        <v>341</v>
      </c>
      <c r="L169" s="293" t="s">
        <v>1497</v>
      </c>
      <c r="M169" s="291" t="s">
        <v>1164</v>
      </c>
      <c r="N169" s="291" t="s">
        <v>1350</v>
      </c>
      <c r="O169" s="303">
        <v>157</v>
      </c>
      <c r="P169" s="303" t="s">
        <v>1064</v>
      </c>
      <c r="Q169" s="303" t="s">
        <v>1064</v>
      </c>
      <c r="R169" s="303" t="s">
        <v>1064</v>
      </c>
      <c r="S169" s="303" t="s">
        <v>1064</v>
      </c>
    </row>
    <row r="170" spans="1:19" ht="12.75" customHeight="1">
      <c r="A170" s="69" t="s">
        <v>701</v>
      </c>
      <c r="B170" s="96" t="s">
        <v>214</v>
      </c>
      <c r="C170" s="82"/>
      <c r="D170" s="71" t="s">
        <v>66</v>
      </c>
      <c r="E170" s="67">
        <f>ROW(HideValues!C141)</f>
        <v>141</v>
      </c>
      <c r="F170" s="67">
        <f>COLUMN(HideValues!C141)</f>
        <v>3</v>
      </c>
      <c r="G170" s="231">
        <v>141</v>
      </c>
      <c r="H170" s="231">
        <v>3</v>
      </c>
      <c r="I170" s="193" t="s">
        <v>705</v>
      </c>
      <c r="J170" s="192" t="s">
        <v>706</v>
      </c>
      <c r="K170" s="303" t="s">
        <v>1572</v>
      </c>
      <c r="L170" s="293" t="s">
        <v>1510</v>
      </c>
      <c r="M170" s="291" t="s">
        <v>1181</v>
      </c>
      <c r="N170" s="294" t="s">
        <v>1367</v>
      </c>
      <c r="O170" s="303">
        <v>158</v>
      </c>
      <c r="P170" s="303" t="s">
        <v>1064</v>
      </c>
      <c r="Q170" s="303" t="s">
        <v>1064</v>
      </c>
      <c r="R170" s="303" t="s">
        <v>1064</v>
      </c>
      <c r="S170" s="303" t="s">
        <v>1064</v>
      </c>
    </row>
    <row r="171" spans="1:19" ht="25.5" customHeight="1">
      <c r="A171" s="69" t="s">
        <v>701</v>
      </c>
      <c r="B171" s="96" t="s">
        <v>214</v>
      </c>
      <c r="C171" s="82"/>
      <c r="D171" s="71" t="s">
        <v>66</v>
      </c>
      <c r="E171" s="67">
        <f>ROW(HideValues!C142)</f>
        <v>142</v>
      </c>
      <c r="F171" s="67">
        <f>COLUMN(HideValues!C142)</f>
        <v>3</v>
      </c>
      <c r="G171" s="231">
        <v>142</v>
      </c>
      <c r="H171" s="231">
        <v>3</v>
      </c>
      <c r="I171" s="95" t="str">
        <f>I148</f>
        <v>http://project-lead.eu/gantt-chart-maker/</v>
      </c>
      <c r="J171" s="95" t="str">
        <f>J148</f>
        <v>http://project-lead.eu/diagramme-de-gantt/</v>
      </c>
      <c r="K171" s="95" t="str">
        <f>I171</f>
        <v>http://project-lead.eu/gantt-chart-maker/</v>
      </c>
      <c r="L171" s="95" t="str">
        <f>I171</f>
        <v>http://project-lead.eu/gantt-chart-maker/</v>
      </c>
      <c r="M171" s="95" t="str">
        <f t="shared" ref="M171" si="23">I171</f>
        <v>http://project-lead.eu/gantt-chart-maker/</v>
      </c>
      <c r="N171" s="95" t="str">
        <f t="shared" ref="N171" si="24">I171</f>
        <v>http://project-lead.eu/gantt-chart-maker/</v>
      </c>
      <c r="O171" s="290">
        <v>159</v>
      </c>
      <c r="P171" s="303" t="s">
        <v>1064</v>
      </c>
      <c r="Q171" s="303" t="s">
        <v>1064</v>
      </c>
      <c r="R171" s="303" t="s">
        <v>1064</v>
      </c>
      <c r="S171" s="303" t="s">
        <v>1064</v>
      </c>
    </row>
    <row r="172" spans="1:19" ht="12.75" customHeight="1">
      <c r="A172" s="69" t="s">
        <v>701</v>
      </c>
      <c r="B172" s="96" t="s">
        <v>214</v>
      </c>
      <c r="C172" s="82"/>
      <c r="D172" s="71" t="s">
        <v>66</v>
      </c>
      <c r="E172" s="67">
        <f>ROW(HideValues!C143)</f>
        <v>143</v>
      </c>
      <c r="F172" s="67">
        <f>COLUMN(HideValues!C143)</f>
        <v>3</v>
      </c>
      <c r="G172" s="231">
        <v>143</v>
      </c>
      <c r="H172" s="231">
        <v>3</v>
      </c>
      <c r="I172" s="223" t="s">
        <v>830</v>
      </c>
      <c r="J172" s="223" t="s">
        <v>830</v>
      </c>
      <c r="K172" s="292" t="s">
        <v>830</v>
      </c>
      <c r="L172" s="292" t="s">
        <v>830</v>
      </c>
      <c r="M172" s="291" t="s">
        <v>1181</v>
      </c>
      <c r="N172" s="292" t="s">
        <v>1367</v>
      </c>
      <c r="O172" s="290">
        <v>160</v>
      </c>
      <c r="P172" s="303" t="s">
        <v>1064</v>
      </c>
      <c r="Q172" s="303" t="s">
        <v>1064</v>
      </c>
      <c r="R172" s="303" t="s">
        <v>1064</v>
      </c>
      <c r="S172" s="303" t="s">
        <v>1064</v>
      </c>
    </row>
    <row r="173" spans="1:19" ht="12.75" customHeight="1">
      <c r="A173" s="97" t="s">
        <v>701</v>
      </c>
      <c r="B173" s="96" t="s">
        <v>214</v>
      </c>
      <c r="C173" s="82"/>
      <c r="D173" s="71" t="s">
        <v>66</v>
      </c>
      <c r="E173" s="67">
        <f>ROW(HideValues!C144)</f>
        <v>144</v>
      </c>
      <c r="F173" s="67">
        <f>COLUMN(HideValues!C144)</f>
        <v>3</v>
      </c>
      <c r="G173" s="231">
        <v>144</v>
      </c>
      <c r="H173" s="231">
        <v>3</v>
      </c>
      <c r="I173" s="220" t="s">
        <v>856</v>
      </c>
      <c r="J173" s="220" t="s">
        <v>855</v>
      </c>
      <c r="K173" s="301" t="s">
        <v>857</v>
      </c>
      <c r="L173" s="293" t="s">
        <v>1511</v>
      </c>
      <c r="M173" s="291" t="s">
        <v>1182</v>
      </c>
      <c r="N173" s="301" t="s">
        <v>1368</v>
      </c>
      <c r="O173" s="303">
        <v>161</v>
      </c>
      <c r="P173" s="303" t="s">
        <v>1064</v>
      </c>
      <c r="Q173" s="303" t="s">
        <v>1064</v>
      </c>
      <c r="R173" s="303" t="s">
        <v>1064</v>
      </c>
      <c r="S173" s="303" t="s">
        <v>1064</v>
      </c>
    </row>
    <row r="174" spans="1:19" ht="12.75" customHeight="1">
      <c r="A174" s="97" t="s">
        <v>701</v>
      </c>
      <c r="B174" s="96" t="s">
        <v>214</v>
      </c>
      <c r="C174" s="82"/>
      <c r="D174" s="71" t="s">
        <v>66</v>
      </c>
      <c r="E174" s="67">
        <f>ROW(HideValues!C145)</f>
        <v>145</v>
      </c>
      <c r="F174" s="67">
        <f>COLUMN(HideValues!C145)</f>
        <v>3</v>
      </c>
      <c r="G174" s="231">
        <v>145</v>
      </c>
      <c r="H174" s="231">
        <v>3</v>
      </c>
      <c r="I174" s="187" t="s">
        <v>847</v>
      </c>
      <c r="J174" s="187" t="s">
        <v>835</v>
      </c>
      <c r="K174" s="301" t="s">
        <v>845</v>
      </c>
      <c r="L174" s="301" t="s">
        <v>843</v>
      </c>
      <c r="M174" s="291" t="s">
        <v>1183</v>
      </c>
      <c r="N174" s="301" t="s">
        <v>1369</v>
      </c>
      <c r="O174" s="303">
        <v>162</v>
      </c>
      <c r="P174" s="303" t="s">
        <v>1064</v>
      </c>
      <c r="Q174" s="303" t="s">
        <v>1064</v>
      </c>
      <c r="R174" s="303" t="s">
        <v>1064</v>
      </c>
      <c r="S174" s="303" t="s">
        <v>1064</v>
      </c>
    </row>
    <row r="175" spans="1:19" ht="12.75" customHeight="1">
      <c r="A175" s="97" t="s">
        <v>701</v>
      </c>
      <c r="B175" s="96" t="s">
        <v>214</v>
      </c>
      <c r="C175" s="82"/>
      <c r="D175" s="71" t="s">
        <v>66</v>
      </c>
      <c r="E175" s="67">
        <f>ROW(HideValues!C146)</f>
        <v>146</v>
      </c>
      <c r="F175" s="67">
        <f>COLUMN(HideValues!C146)</f>
        <v>3</v>
      </c>
      <c r="G175" s="231">
        <v>146</v>
      </c>
      <c r="H175" s="231">
        <v>3</v>
      </c>
      <c r="I175" s="187" t="s">
        <v>848</v>
      </c>
      <c r="J175" s="187" t="s">
        <v>836</v>
      </c>
      <c r="K175" s="301" t="s">
        <v>846</v>
      </c>
      <c r="L175" s="301" t="s">
        <v>844</v>
      </c>
      <c r="M175" s="291" t="s">
        <v>1184</v>
      </c>
      <c r="N175" s="301" t="s">
        <v>1370</v>
      </c>
      <c r="O175" s="303">
        <v>163</v>
      </c>
      <c r="P175" s="303" t="s">
        <v>1064</v>
      </c>
      <c r="Q175" s="303" t="s">
        <v>1064</v>
      </c>
      <c r="R175" s="303" t="s">
        <v>1064</v>
      </c>
      <c r="S175" s="303" t="s">
        <v>1064</v>
      </c>
    </row>
    <row r="176" spans="1:19" ht="12.75" customHeight="1">
      <c r="A176" s="97" t="s">
        <v>701</v>
      </c>
      <c r="B176" s="96" t="s">
        <v>214</v>
      </c>
      <c r="C176" s="82"/>
      <c r="D176" s="71" t="s">
        <v>66</v>
      </c>
      <c r="E176" s="67">
        <f>ROW(HideValues!C147)</f>
        <v>147</v>
      </c>
      <c r="F176" s="67">
        <f>COLUMN(HideValues!C147)</f>
        <v>3</v>
      </c>
      <c r="G176" s="231">
        <v>147</v>
      </c>
      <c r="H176" s="231">
        <v>3</v>
      </c>
      <c r="I176" s="220" t="s">
        <v>831</v>
      </c>
      <c r="J176" s="220" t="s">
        <v>832</v>
      </c>
      <c r="K176" s="301" t="s">
        <v>833</v>
      </c>
      <c r="L176" s="301" t="s">
        <v>834</v>
      </c>
      <c r="M176" s="291" t="s">
        <v>1185</v>
      </c>
      <c r="N176" s="301" t="s">
        <v>1371</v>
      </c>
      <c r="O176" s="303">
        <v>164</v>
      </c>
      <c r="P176" s="303" t="s">
        <v>1064</v>
      </c>
      <c r="Q176" s="303" t="s">
        <v>1064</v>
      </c>
      <c r="R176" s="303" t="s">
        <v>1064</v>
      </c>
      <c r="S176" s="303" t="s">
        <v>1064</v>
      </c>
    </row>
    <row r="177" spans="1:19" ht="12.75" customHeight="1">
      <c r="A177" s="97" t="s">
        <v>701</v>
      </c>
      <c r="B177" s="96" t="s">
        <v>214</v>
      </c>
      <c r="C177" s="82"/>
      <c r="D177" s="71" t="s">
        <v>66</v>
      </c>
      <c r="E177" s="67">
        <f>ROW(HideValues!C148)</f>
        <v>148</v>
      </c>
      <c r="F177" s="67">
        <f>COLUMN(HideValues!C148)</f>
        <v>3</v>
      </c>
      <c r="G177" s="231">
        <v>148</v>
      </c>
      <c r="H177" s="231">
        <v>3</v>
      </c>
      <c r="I177" s="222" t="s">
        <v>828</v>
      </c>
      <c r="J177" s="95" t="str">
        <f ca="1">INDIRECT(ADDRESS(MATCH(I177,$I$20:$I$500,0)+19,10))</f>
        <v>Annuler</v>
      </c>
      <c r="K177" s="95" t="str">
        <f ca="1">INDIRECT(ADDRESS(MATCH(I177,$I$20:$I$500,0)+19,11))</f>
        <v>Cancelar</v>
      </c>
      <c r="L177" s="95" t="str">
        <f ca="1">INDIRECT(ADDRESS(MATCH(I177,$I$20:$I$500,0)+19,12))</f>
        <v>Abbrechen</v>
      </c>
      <c r="M177" s="95" t="str">
        <f ca="1">INDIRECT(ADDRESS(MATCH(I177,$I$20:$I$500,0)+19,13))</f>
        <v>Cancelar</v>
      </c>
      <c r="N177" s="95" t="str">
        <f ca="1">INDIRECT(ADDRESS(MATCH(I177,$I$20:$I$500,0)+19,14))</f>
        <v>Annuleren</v>
      </c>
      <c r="O177" s="290">
        <v>165</v>
      </c>
      <c r="P177" s="303" t="s">
        <v>1064</v>
      </c>
      <c r="Q177" s="303" t="s">
        <v>1064</v>
      </c>
      <c r="R177" s="303" t="s">
        <v>1064</v>
      </c>
      <c r="S177" s="303" t="s">
        <v>1064</v>
      </c>
    </row>
    <row r="178" spans="1:19" ht="12.75" customHeight="1">
      <c r="A178" s="97" t="s">
        <v>701</v>
      </c>
      <c r="B178" s="96" t="s">
        <v>214</v>
      </c>
      <c r="C178" s="82"/>
      <c r="D178" s="71" t="s">
        <v>66</v>
      </c>
      <c r="E178" s="67">
        <f>ROW(HideValues!C149)</f>
        <v>149</v>
      </c>
      <c r="F178" s="67">
        <f>COLUMN(HideValues!C149)</f>
        <v>3</v>
      </c>
      <c r="G178" s="231">
        <v>149</v>
      </c>
      <c r="H178" s="231">
        <v>3</v>
      </c>
      <c r="I178" s="222" t="s">
        <v>829</v>
      </c>
      <c r="J178" s="95" t="str">
        <f ca="1">INDIRECT(ADDRESS(MATCH(I178,$I$20:$I$500,0)+19,10))</f>
        <v>AJOUTER</v>
      </c>
      <c r="K178" s="95" t="str">
        <f ca="1">INDIRECT(ADDRESS(MATCH(I178,$I$20:$I$500,0)+19,11))</f>
        <v>ADD</v>
      </c>
      <c r="L178" s="95" t="str">
        <f ca="1">INDIRECT(ADDRESS(MATCH(I178,$I$20:$I$500,0)+19,12))</f>
        <v>Hinzufügen</v>
      </c>
      <c r="M178" s="95" t="str">
        <f ca="1">INDIRECT(ADDRESS(MATCH(I178,$I$20:$I$500,0)+19,13))</f>
        <v>ADICIONAR</v>
      </c>
      <c r="N178" s="95" t="str">
        <f ca="1">INDIRECT(ADDRESS(MATCH(I178,$I$20:$I$500,0)+19,14))</f>
        <v>TOEVOEGEN</v>
      </c>
      <c r="O178" s="290">
        <v>166</v>
      </c>
      <c r="P178" s="303" t="s">
        <v>1064</v>
      </c>
      <c r="Q178" s="303" t="s">
        <v>1064</v>
      </c>
      <c r="R178" s="303" t="s">
        <v>1064</v>
      </c>
      <c r="S178" s="303" t="s">
        <v>1064</v>
      </c>
    </row>
    <row r="179" spans="1:19" ht="12.75" customHeight="1">
      <c r="A179" s="97" t="s">
        <v>701</v>
      </c>
      <c r="B179" s="96" t="s">
        <v>214</v>
      </c>
      <c r="C179" s="82"/>
      <c r="D179" s="71" t="s">
        <v>66</v>
      </c>
      <c r="E179" s="67">
        <f>ROW(HideValues!C150)</f>
        <v>150</v>
      </c>
      <c r="F179" s="67">
        <f>COLUMN(HideValues!C150)</f>
        <v>3</v>
      </c>
      <c r="G179" s="231">
        <v>150</v>
      </c>
      <c r="H179" s="231">
        <v>3</v>
      </c>
      <c r="I179" s="187" t="s">
        <v>852</v>
      </c>
      <c r="J179" s="187" t="s">
        <v>837</v>
      </c>
      <c r="K179" s="303" t="s">
        <v>1573</v>
      </c>
      <c r="L179" s="293" t="s">
        <v>1512</v>
      </c>
      <c r="M179" s="291" t="s">
        <v>1186</v>
      </c>
      <c r="N179" s="301" t="s">
        <v>1372</v>
      </c>
      <c r="O179" s="303">
        <v>167</v>
      </c>
      <c r="P179" s="303" t="s">
        <v>1064</v>
      </c>
      <c r="Q179" s="303" t="s">
        <v>1064</v>
      </c>
      <c r="R179" s="303" t="s">
        <v>1064</v>
      </c>
      <c r="S179" s="303" t="s">
        <v>1064</v>
      </c>
    </row>
    <row r="180" spans="1:19" ht="12.75" customHeight="1">
      <c r="A180" s="97" t="s">
        <v>701</v>
      </c>
      <c r="B180" s="96" t="s">
        <v>214</v>
      </c>
      <c r="C180" s="82"/>
      <c r="D180" s="71" t="s">
        <v>66</v>
      </c>
      <c r="E180" s="67">
        <f>ROW(HideValues!C151)</f>
        <v>151</v>
      </c>
      <c r="F180" s="67">
        <f>COLUMN(HideValues!C151)</f>
        <v>3</v>
      </c>
      <c r="G180" s="231">
        <v>151</v>
      </c>
      <c r="H180" s="231">
        <v>3</v>
      </c>
      <c r="I180" s="187" t="s">
        <v>850</v>
      </c>
      <c r="J180" s="187" t="s">
        <v>838</v>
      </c>
      <c r="K180" s="303" t="s">
        <v>1574</v>
      </c>
      <c r="L180" s="301" t="s">
        <v>849</v>
      </c>
      <c r="M180" s="291" t="s">
        <v>1187</v>
      </c>
      <c r="N180" s="301" t="s">
        <v>1373</v>
      </c>
      <c r="O180" s="303">
        <v>168</v>
      </c>
      <c r="P180" s="303" t="s">
        <v>1064</v>
      </c>
      <c r="Q180" s="303" t="s">
        <v>1064</v>
      </c>
      <c r="R180" s="303" t="s">
        <v>1064</v>
      </c>
      <c r="S180" s="303" t="s">
        <v>1064</v>
      </c>
    </row>
    <row r="181" spans="1:19" ht="12.75" customHeight="1">
      <c r="A181" s="97" t="s">
        <v>701</v>
      </c>
      <c r="B181" s="96" t="s">
        <v>214</v>
      </c>
      <c r="C181" s="82"/>
      <c r="D181" s="71" t="s">
        <v>66</v>
      </c>
      <c r="E181" s="67">
        <f>ROW(HideValues!C152)</f>
        <v>152</v>
      </c>
      <c r="F181" s="67">
        <f>COLUMN(HideValues!C152)</f>
        <v>3</v>
      </c>
      <c r="G181" s="231">
        <v>152</v>
      </c>
      <c r="H181" s="231">
        <v>3</v>
      </c>
      <c r="I181" s="220" t="s">
        <v>853</v>
      </c>
      <c r="J181" s="220" t="s">
        <v>839</v>
      </c>
      <c r="K181" s="303" t="s">
        <v>1575</v>
      </c>
      <c r="L181" s="293" t="s">
        <v>1513</v>
      </c>
      <c r="M181" s="291" t="s">
        <v>1188</v>
      </c>
      <c r="N181" s="301" t="s">
        <v>1374</v>
      </c>
      <c r="O181" s="303">
        <v>169</v>
      </c>
      <c r="P181" s="303" t="s">
        <v>1064</v>
      </c>
      <c r="Q181" s="303" t="s">
        <v>1064</v>
      </c>
      <c r="R181" s="303" t="s">
        <v>1064</v>
      </c>
      <c r="S181" s="303" t="s">
        <v>1064</v>
      </c>
    </row>
    <row r="182" spans="1:19" ht="25.5" customHeight="1">
      <c r="A182" s="97" t="s">
        <v>701</v>
      </c>
      <c r="B182" s="96" t="s">
        <v>214</v>
      </c>
      <c r="C182" s="82"/>
      <c r="D182" s="71" t="s">
        <v>66</v>
      </c>
      <c r="E182" s="67">
        <f>ROW(HideValues!C153)</f>
        <v>153</v>
      </c>
      <c r="F182" s="67">
        <f>COLUMN(HideValues!C153)</f>
        <v>3</v>
      </c>
      <c r="G182" s="231">
        <v>153</v>
      </c>
      <c r="H182" s="231">
        <v>3</v>
      </c>
      <c r="I182" s="220" t="s">
        <v>854</v>
      </c>
      <c r="J182" s="97" t="s">
        <v>840</v>
      </c>
      <c r="K182" s="303" t="s">
        <v>1576</v>
      </c>
      <c r="L182" s="293" t="s">
        <v>1514</v>
      </c>
      <c r="M182" s="291" t="s">
        <v>1189</v>
      </c>
      <c r="N182" s="291" t="s">
        <v>1375</v>
      </c>
      <c r="O182" s="303">
        <v>170</v>
      </c>
      <c r="P182" s="303" t="s">
        <v>1064</v>
      </c>
      <c r="Q182" s="303" t="s">
        <v>1064</v>
      </c>
      <c r="R182" s="303" t="s">
        <v>1064</v>
      </c>
      <c r="S182" s="303" t="s">
        <v>1064</v>
      </c>
    </row>
    <row r="183" spans="1:19" ht="25.5" customHeight="1">
      <c r="A183" s="97" t="s">
        <v>701</v>
      </c>
      <c r="B183" s="96" t="s">
        <v>214</v>
      </c>
      <c r="C183" s="82"/>
      <c r="D183" s="71" t="s">
        <v>66</v>
      </c>
      <c r="E183" s="67">
        <f>ROW(HideValues!C154)</f>
        <v>154</v>
      </c>
      <c r="F183" s="67">
        <f>COLUMN(HideValues!C154)</f>
        <v>3</v>
      </c>
      <c r="G183" s="231">
        <v>154</v>
      </c>
      <c r="H183" s="231">
        <v>3</v>
      </c>
      <c r="I183" s="220" t="s">
        <v>851</v>
      </c>
      <c r="J183" s="97" t="s">
        <v>841</v>
      </c>
      <c r="K183" s="303" t="s">
        <v>1577</v>
      </c>
      <c r="L183" s="293" t="s">
        <v>1515</v>
      </c>
      <c r="M183" s="291" t="s">
        <v>1190</v>
      </c>
      <c r="N183" s="291" t="s">
        <v>1376</v>
      </c>
      <c r="O183" s="303">
        <v>171</v>
      </c>
      <c r="P183" s="303" t="s">
        <v>1064</v>
      </c>
      <c r="Q183" s="303" t="s">
        <v>1064</v>
      </c>
      <c r="R183" s="303" t="s">
        <v>1064</v>
      </c>
      <c r="S183" s="303" t="s">
        <v>1064</v>
      </c>
    </row>
    <row r="184" spans="1:19" ht="14.25" customHeight="1">
      <c r="A184" s="215" t="s">
        <v>522</v>
      </c>
      <c r="B184" s="96" t="s">
        <v>214</v>
      </c>
      <c r="C184" s="85"/>
      <c r="D184" s="71" t="s">
        <v>66</v>
      </c>
      <c r="E184" s="67">
        <f>ROW(HideValues!$G87)</f>
        <v>87</v>
      </c>
      <c r="F184" s="67">
        <f>COLUMN(HideValues!$G87)</f>
        <v>7</v>
      </c>
      <c r="G184" s="231">
        <v>87</v>
      </c>
      <c r="H184" s="231">
        <v>7</v>
      </c>
      <c r="I184" s="82" t="s">
        <v>499</v>
      </c>
      <c r="J184" s="82" t="s">
        <v>523</v>
      </c>
      <c r="K184" s="303" t="s">
        <v>1578</v>
      </c>
      <c r="L184" s="293" t="s">
        <v>1516</v>
      </c>
      <c r="M184" s="291" t="s">
        <v>523</v>
      </c>
      <c r="N184" s="294" t="s">
        <v>1377</v>
      </c>
      <c r="O184" s="303">
        <v>172</v>
      </c>
      <c r="P184" s="303" t="s">
        <v>1064</v>
      </c>
      <c r="Q184" s="303" t="s">
        <v>1064</v>
      </c>
      <c r="R184" s="303" t="s">
        <v>1064</v>
      </c>
      <c r="S184" s="303" t="s">
        <v>1064</v>
      </c>
    </row>
    <row r="185" spans="1:19" ht="14.25" customHeight="1">
      <c r="A185" s="126" t="s">
        <v>522</v>
      </c>
      <c r="B185" s="96" t="s">
        <v>214</v>
      </c>
      <c r="C185" s="85"/>
      <c r="D185" s="71" t="s">
        <v>66</v>
      </c>
      <c r="E185" s="67">
        <f>ROW(HideValues!$G88)</f>
        <v>88</v>
      </c>
      <c r="F185" s="67">
        <f>COLUMN(HideValues!$G88)</f>
        <v>7</v>
      </c>
      <c r="G185" s="231">
        <v>88</v>
      </c>
      <c r="H185" s="231">
        <v>7</v>
      </c>
      <c r="I185" s="82" t="s">
        <v>500</v>
      </c>
      <c r="J185" s="82" t="s">
        <v>524</v>
      </c>
      <c r="K185" s="294" t="s">
        <v>779</v>
      </c>
      <c r="L185" s="293" t="s">
        <v>1517</v>
      </c>
      <c r="M185" s="291" t="s">
        <v>1191</v>
      </c>
      <c r="N185" s="294" t="s">
        <v>1378</v>
      </c>
      <c r="O185" s="303">
        <v>173</v>
      </c>
      <c r="P185" s="303" t="s">
        <v>1064</v>
      </c>
      <c r="Q185" s="303" t="s">
        <v>1064</v>
      </c>
      <c r="R185" s="303" t="s">
        <v>1064</v>
      </c>
      <c r="S185" s="303" t="s">
        <v>1064</v>
      </c>
    </row>
    <row r="186" spans="1:19" ht="14.25" customHeight="1">
      <c r="A186" s="126" t="s">
        <v>522</v>
      </c>
      <c r="B186" s="96" t="s">
        <v>214</v>
      </c>
      <c r="C186" s="85"/>
      <c r="D186" s="71" t="s">
        <v>66</v>
      </c>
      <c r="E186" s="67">
        <f>ROW(HideValues!$G89)</f>
        <v>89</v>
      </c>
      <c r="F186" s="67">
        <f>COLUMN(HideValues!$G89)</f>
        <v>7</v>
      </c>
      <c r="G186" s="231">
        <v>89</v>
      </c>
      <c r="H186" s="231">
        <v>7</v>
      </c>
      <c r="I186" s="193" t="s">
        <v>400</v>
      </c>
      <c r="J186" s="82" t="s">
        <v>412</v>
      </c>
      <c r="K186" s="294" t="s">
        <v>405</v>
      </c>
      <c r="L186" s="293" t="s">
        <v>1506</v>
      </c>
      <c r="M186" s="291" t="s">
        <v>1175</v>
      </c>
      <c r="N186" s="294" t="s">
        <v>1361</v>
      </c>
      <c r="O186" s="303">
        <v>174</v>
      </c>
      <c r="P186" s="303" t="s">
        <v>1064</v>
      </c>
      <c r="Q186" s="303" t="s">
        <v>1064</v>
      </c>
      <c r="R186" s="303" t="s">
        <v>1064</v>
      </c>
      <c r="S186" s="303" t="s">
        <v>1064</v>
      </c>
    </row>
    <row r="187" spans="1:19" ht="14.25" customHeight="1">
      <c r="A187" s="126" t="s">
        <v>522</v>
      </c>
      <c r="B187" s="96" t="s">
        <v>214</v>
      </c>
      <c r="C187" s="85"/>
      <c r="D187" s="71" t="s">
        <v>66</v>
      </c>
      <c r="E187" s="67">
        <f>ROW(HideValues!$G90)</f>
        <v>90</v>
      </c>
      <c r="F187" s="67">
        <f>COLUMN(HideValues!$G90)</f>
        <v>7</v>
      </c>
      <c r="G187" s="231">
        <v>90</v>
      </c>
      <c r="H187" s="231">
        <v>7</v>
      </c>
      <c r="I187" s="126" t="s">
        <v>401</v>
      </c>
      <c r="J187" s="82" t="s">
        <v>411</v>
      </c>
      <c r="K187" s="294" t="s">
        <v>404</v>
      </c>
      <c r="L187" s="293" t="s">
        <v>1505</v>
      </c>
      <c r="M187" s="291" t="s">
        <v>1174</v>
      </c>
      <c r="N187" s="294" t="s">
        <v>1360</v>
      </c>
      <c r="O187" s="303">
        <v>175</v>
      </c>
      <c r="P187" s="303" t="s">
        <v>1064</v>
      </c>
      <c r="Q187" s="303" t="s">
        <v>1064</v>
      </c>
      <c r="R187" s="303" t="s">
        <v>1064</v>
      </c>
      <c r="S187" s="303" t="s">
        <v>1064</v>
      </c>
    </row>
    <row r="188" spans="1:19" ht="14.25" customHeight="1">
      <c r="A188" s="126" t="s">
        <v>522</v>
      </c>
      <c r="B188" s="96" t="s">
        <v>214</v>
      </c>
      <c r="C188" s="85"/>
      <c r="D188" s="71" t="s">
        <v>66</v>
      </c>
      <c r="E188" s="67">
        <f>ROW(HideValues!$G91)</f>
        <v>91</v>
      </c>
      <c r="F188" s="67">
        <f>COLUMN(HideValues!$G91)</f>
        <v>7</v>
      </c>
      <c r="G188" s="231">
        <v>91</v>
      </c>
      <c r="H188" s="231">
        <v>7</v>
      </c>
      <c r="I188" s="82" t="s">
        <v>501</v>
      </c>
      <c r="J188" s="192" t="s">
        <v>410</v>
      </c>
      <c r="K188" s="303" t="s">
        <v>1579</v>
      </c>
      <c r="L188" s="293" t="s">
        <v>1518</v>
      </c>
      <c r="M188" s="291" t="s">
        <v>1192</v>
      </c>
      <c r="N188" s="294" t="s">
        <v>1379</v>
      </c>
      <c r="O188" s="303">
        <v>176</v>
      </c>
      <c r="P188" s="303" t="s">
        <v>1064</v>
      </c>
      <c r="Q188" s="303" t="s">
        <v>1064</v>
      </c>
      <c r="R188" s="303" t="s">
        <v>1064</v>
      </c>
      <c r="S188" s="303" t="s">
        <v>1064</v>
      </c>
    </row>
    <row r="189" spans="1:19" ht="14.25" customHeight="1">
      <c r="A189" s="126" t="s">
        <v>522</v>
      </c>
      <c r="B189" s="96" t="s">
        <v>214</v>
      </c>
      <c r="C189" s="85"/>
      <c r="D189" s="71" t="s">
        <v>66</v>
      </c>
      <c r="E189" s="67">
        <f>ROW(HideValues!$G92)</f>
        <v>92</v>
      </c>
      <c r="F189" s="67">
        <f>COLUMN(HideValues!$G92)</f>
        <v>7</v>
      </c>
      <c r="G189" s="231">
        <v>92</v>
      </c>
      <c r="H189" s="231">
        <v>7</v>
      </c>
      <c r="I189" s="82" t="s">
        <v>502</v>
      </c>
      <c r="J189" s="82" t="s">
        <v>525</v>
      </c>
      <c r="K189" s="294" t="s">
        <v>780</v>
      </c>
      <c r="L189" s="293" t="s">
        <v>1519</v>
      </c>
      <c r="M189" s="291" t="s">
        <v>1193</v>
      </c>
      <c r="N189" s="294" t="s">
        <v>1380</v>
      </c>
      <c r="O189" s="303">
        <v>177</v>
      </c>
      <c r="P189" s="303" t="s">
        <v>1064</v>
      </c>
      <c r="Q189" s="303" t="s">
        <v>1064</v>
      </c>
      <c r="R189" s="303" t="s">
        <v>1064</v>
      </c>
      <c r="S189" s="303" t="s">
        <v>1064</v>
      </c>
    </row>
    <row r="190" spans="1:19" ht="14.25" customHeight="1">
      <c r="A190" s="126" t="s">
        <v>522</v>
      </c>
      <c r="B190" s="96" t="s">
        <v>214</v>
      </c>
      <c r="C190" s="85"/>
      <c r="D190" s="71" t="s">
        <v>66</v>
      </c>
      <c r="E190" s="67">
        <f>ROW(HideValues!$G93)</f>
        <v>93</v>
      </c>
      <c r="F190" s="67">
        <f>COLUMN(HideValues!$G93)</f>
        <v>7</v>
      </c>
      <c r="G190" s="231">
        <v>93</v>
      </c>
      <c r="H190" s="231">
        <v>7</v>
      </c>
      <c r="I190" s="82" t="s">
        <v>563</v>
      </c>
      <c r="J190" s="82" t="s">
        <v>526</v>
      </c>
      <c r="K190" s="303" t="s">
        <v>1580</v>
      </c>
      <c r="L190" s="293" t="s">
        <v>1520</v>
      </c>
      <c r="M190" s="291" t="s">
        <v>1194</v>
      </c>
      <c r="N190" s="294" t="s">
        <v>1381</v>
      </c>
      <c r="O190" s="303">
        <v>178</v>
      </c>
      <c r="P190" s="303" t="s">
        <v>1064</v>
      </c>
      <c r="Q190" s="303" t="s">
        <v>1064</v>
      </c>
      <c r="R190" s="303" t="s">
        <v>1064</v>
      </c>
      <c r="S190" s="303" t="s">
        <v>1064</v>
      </c>
    </row>
    <row r="191" spans="1:19" ht="14.25" customHeight="1">
      <c r="A191" s="126" t="s">
        <v>522</v>
      </c>
      <c r="B191" s="96" t="s">
        <v>214</v>
      </c>
      <c r="C191" s="85"/>
      <c r="D191" s="71" t="s">
        <v>66</v>
      </c>
      <c r="E191" s="67">
        <f>ROW(HideValues!$G94)</f>
        <v>94</v>
      </c>
      <c r="F191" s="67">
        <f>COLUMN(HideValues!$G94)</f>
        <v>7</v>
      </c>
      <c r="G191" s="231">
        <v>94</v>
      </c>
      <c r="H191" s="231">
        <v>7</v>
      </c>
      <c r="I191" s="82" t="s">
        <v>503</v>
      </c>
      <c r="J191" s="82" t="s">
        <v>527</v>
      </c>
      <c r="K191" s="303" t="s">
        <v>1581</v>
      </c>
      <c r="L191" s="293" t="s">
        <v>1521</v>
      </c>
      <c r="M191" s="291" t="s">
        <v>1195</v>
      </c>
      <c r="N191" s="294" t="s">
        <v>1382</v>
      </c>
      <c r="O191" s="303">
        <v>179</v>
      </c>
      <c r="P191" s="303" t="s">
        <v>1064</v>
      </c>
      <c r="Q191" s="303" t="s">
        <v>1064</v>
      </c>
      <c r="R191" s="303" t="s">
        <v>1064</v>
      </c>
      <c r="S191" s="303" t="s">
        <v>1064</v>
      </c>
    </row>
    <row r="192" spans="1:19" ht="14.25" customHeight="1">
      <c r="A192" s="126" t="s">
        <v>522</v>
      </c>
      <c r="B192" s="96" t="s">
        <v>214</v>
      </c>
      <c r="C192" s="85"/>
      <c r="D192" s="71" t="s">
        <v>66</v>
      </c>
      <c r="E192" s="67">
        <f>ROW(HideValues!$G95)</f>
        <v>95</v>
      </c>
      <c r="F192" s="67">
        <f>COLUMN(HideValues!$G95)</f>
        <v>7</v>
      </c>
      <c r="G192" s="231">
        <v>95</v>
      </c>
      <c r="H192" s="231">
        <v>7</v>
      </c>
      <c r="I192" s="82" t="s">
        <v>504</v>
      </c>
      <c r="J192" s="82" t="s">
        <v>528</v>
      </c>
      <c r="K192" s="294" t="s">
        <v>781</v>
      </c>
      <c r="L192" s="293" t="s">
        <v>1522</v>
      </c>
      <c r="M192" s="291" t="s">
        <v>1196</v>
      </c>
      <c r="N192" s="294" t="s">
        <v>1383</v>
      </c>
      <c r="O192" s="303">
        <v>180</v>
      </c>
      <c r="P192" s="303" t="s">
        <v>1064</v>
      </c>
      <c r="Q192" s="303" t="s">
        <v>1064</v>
      </c>
      <c r="R192" s="303" t="s">
        <v>1064</v>
      </c>
      <c r="S192" s="303" t="s">
        <v>1064</v>
      </c>
    </row>
    <row r="193" spans="1:19" ht="14.25" customHeight="1">
      <c r="A193" s="126" t="s">
        <v>522</v>
      </c>
      <c r="B193" s="96" t="s">
        <v>214</v>
      </c>
      <c r="C193" s="85"/>
      <c r="D193" s="71" t="s">
        <v>66</v>
      </c>
      <c r="E193" s="67">
        <f>ROW(HideValues!$G96)</f>
        <v>96</v>
      </c>
      <c r="F193" s="67">
        <f>COLUMN(HideValues!$G96)</f>
        <v>7</v>
      </c>
      <c r="G193" s="231">
        <v>96</v>
      </c>
      <c r="H193" s="231">
        <v>7</v>
      </c>
      <c r="I193" s="82" t="s">
        <v>1047</v>
      </c>
      <c r="J193" s="82" t="s">
        <v>1016</v>
      </c>
      <c r="K193" s="303" t="s">
        <v>1582</v>
      </c>
      <c r="L193" s="293" t="s">
        <v>1523</v>
      </c>
      <c r="M193" s="291" t="s">
        <v>1197</v>
      </c>
      <c r="N193" s="294" t="s">
        <v>1384</v>
      </c>
      <c r="O193" s="303">
        <v>181</v>
      </c>
      <c r="P193" s="303" t="s">
        <v>1064</v>
      </c>
      <c r="Q193" s="303" t="s">
        <v>1064</v>
      </c>
      <c r="R193" s="303" t="s">
        <v>1064</v>
      </c>
      <c r="S193" s="303" t="s">
        <v>1064</v>
      </c>
    </row>
    <row r="194" spans="1:19" ht="14.25" customHeight="1">
      <c r="A194" s="126" t="s">
        <v>522</v>
      </c>
      <c r="B194" s="96" t="s">
        <v>214</v>
      </c>
      <c r="C194" s="85"/>
      <c r="D194" s="71" t="s">
        <v>66</v>
      </c>
      <c r="E194" s="67">
        <f>ROW(HideValues!$G97)</f>
        <v>97</v>
      </c>
      <c r="F194" s="67">
        <f>COLUMN(HideValues!$G97)</f>
        <v>7</v>
      </c>
      <c r="G194" s="231">
        <v>97</v>
      </c>
      <c r="H194" s="231">
        <v>7</v>
      </c>
      <c r="I194" s="82" t="s">
        <v>1046</v>
      </c>
      <c r="J194" s="82" t="s">
        <v>1015</v>
      </c>
      <c r="K194" s="303" t="s">
        <v>1583</v>
      </c>
      <c r="L194" s="293" t="s">
        <v>1524</v>
      </c>
      <c r="M194" s="291" t="s">
        <v>1198</v>
      </c>
      <c r="N194" s="294" t="s">
        <v>1385</v>
      </c>
      <c r="O194" s="303">
        <v>182</v>
      </c>
      <c r="P194" s="303" t="s">
        <v>1064</v>
      </c>
      <c r="Q194" s="303" t="s">
        <v>1064</v>
      </c>
      <c r="R194" s="303" t="s">
        <v>1064</v>
      </c>
      <c r="S194" s="303" t="s">
        <v>1064</v>
      </c>
    </row>
    <row r="195" spans="1:19" ht="14.25" customHeight="1">
      <c r="A195" s="126" t="s">
        <v>522</v>
      </c>
      <c r="B195" s="96" t="s">
        <v>214</v>
      </c>
      <c r="C195" s="85"/>
      <c r="D195" s="71" t="s">
        <v>66</v>
      </c>
      <c r="E195" s="67">
        <f>ROW(HideValues!$G98)</f>
        <v>98</v>
      </c>
      <c r="F195" s="67">
        <f>COLUMN(HideValues!$G98)</f>
        <v>7</v>
      </c>
      <c r="G195" s="231">
        <v>98</v>
      </c>
      <c r="H195" s="231">
        <v>7</v>
      </c>
      <c r="I195" s="82" t="s">
        <v>505</v>
      </c>
      <c r="J195" s="82" t="s">
        <v>1017</v>
      </c>
      <c r="K195" s="303" t="s">
        <v>1584</v>
      </c>
      <c r="L195" s="293" t="s">
        <v>1525</v>
      </c>
      <c r="M195" s="291" t="s">
        <v>1199</v>
      </c>
      <c r="N195" s="294" t="s">
        <v>1386</v>
      </c>
      <c r="O195" s="303">
        <v>183</v>
      </c>
      <c r="P195" s="303" t="s">
        <v>1064</v>
      </c>
      <c r="Q195" s="303" t="s">
        <v>1064</v>
      </c>
      <c r="R195" s="303" t="s">
        <v>1064</v>
      </c>
      <c r="S195" s="303" t="s">
        <v>1064</v>
      </c>
    </row>
    <row r="196" spans="1:19" ht="14.25" customHeight="1">
      <c r="A196" s="126" t="s">
        <v>522</v>
      </c>
      <c r="B196" s="96" t="s">
        <v>214</v>
      </c>
      <c r="C196" s="85"/>
      <c r="D196" s="71" t="s">
        <v>66</v>
      </c>
      <c r="E196" s="67">
        <f>ROW(HideValues!$G99)</f>
        <v>99</v>
      </c>
      <c r="F196" s="67">
        <f>COLUMN(HideValues!$G99)</f>
        <v>7</v>
      </c>
      <c r="G196" s="231">
        <v>99</v>
      </c>
      <c r="H196" s="231">
        <v>7</v>
      </c>
      <c r="I196" s="82" t="s">
        <v>506</v>
      </c>
      <c r="J196" s="82" t="s">
        <v>1018</v>
      </c>
      <c r="K196" s="294" t="s">
        <v>1019</v>
      </c>
      <c r="L196" s="293" t="s">
        <v>1526</v>
      </c>
      <c r="M196" s="291" t="s">
        <v>1200</v>
      </c>
      <c r="N196" s="294" t="s">
        <v>1387</v>
      </c>
      <c r="O196" s="303">
        <v>184</v>
      </c>
      <c r="P196" s="303" t="s">
        <v>1064</v>
      </c>
      <c r="Q196" s="303" t="s">
        <v>1064</v>
      </c>
      <c r="R196" s="303" t="s">
        <v>1064</v>
      </c>
      <c r="S196" s="303" t="s">
        <v>1064</v>
      </c>
    </row>
    <row r="197" spans="1:19" ht="14.25" customHeight="1">
      <c r="A197" s="126" t="s">
        <v>522</v>
      </c>
      <c r="B197" s="96" t="s">
        <v>214</v>
      </c>
      <c r="C197" s="85"/>
      <c r="D197" s="71" t="s">
        <v>66</v>
      </c>
      <c r="E197" s="67">
        <f>ROW(HideValues!$G100)</f>
        <v>100</v>
      </c>
      <c r="F197" s="67">
        <f>COLUMN(HideValues!$G100)</f>
        <v>7</v>
      </c>
      <c r="G197" s="231">
        <v>100</v>
      </c>
      <c r="H197" s="231">
        <v>7</v>
      </c>
      <c r="I197" s="82" t="s">
        <v>1053</v>
      </c>
      <c r="J197" s="82" t="s">
        <v>1050</v>
      </c>
      <c r="K197" s="294" t="s">
        <v>1051</v>
      </c>
      <c r="L197" s="294" t="s">
        <v>1052</v>
      </c>
      <c r="M197" s="291" t="s">
        <v>1201</v>
      </c>
      <c r="N197" s="294" t="s">
        <v>1388</v>
      </c>
      <c r="O197" s="303">
        <v>185</v>
      </c>
      <c r="P197" s="303" t="s">
        <v>1064</v>
      </c>
      <c r="Q197" s="303" t="s">
        <v>1064</v>
      </c>
      <c r="R197" s="303" t="s">
        <v>1064</v>
      </c>
      <c r="S197" s="303" t="s">
        <v>1064</v>
      </c>
    </row>
    <row r="198" spans="1:19" ht="14.25" customHeight="1">
      <c r="A198" s="126" t="s">
        <v>522</v>
      </c>
      <c r="B198" s="96" t="s">
        <v>214</v>
      </c>
      <c r="C198" s="85"/>
      <c r="D198" s="71" t="s">
        <v>66</v>
      </c>
      <c r="E198" s="67">
        <f>ROW(HideValues!$G101)</f>
        <v>101</v>
      </c>
      <c r="F198" s="67">
        <f>COLUMN(HideValues!$G101)</f>
        <v>7</v>
      </c>
      <c r="G198" s="231">
        <v>101</v>
      </c>
      <c r="H198" s="231">
        <v>7</v>
      </c>
      <c r="I198" s="82" t="s">
        <v>52</v>
      </c>
      <c r="J198" s="82" t="s">
        <v>529</v>
      </c>
      <c r="K198" s="294" t="s">
        <v>782</v>
      </c>
      <c r="L198" s="293" t="s">
        <v>1470</v>
      </c>
      <c r="M198" s="291" t="s">
        <v>1108</v>
      </c>
      <c r="N198" s="294" t="s">
        <v>1293</v>
      </c>
      <c r="O198" s="303">
        <v>186</v>
      </c>
      <c r="P198" s="303" t="s">
        <v>1064</v>
      </c>
      <c r="Q198" s="303" t="s">
        <v>1064</v>
      </c>
      <c r="R198" s="303" t="s">
        <v>1064</v>
      </c>
      <c r="S198" s="303" t="s">
        <v>1064</v>
      </c>
    </row>
    <row r="199" spans="1:19" ht="14.25" customHeight="1">
      <c r="A199" s="126" t="s">
        <v>522</v>
      </c>
      <c r="B199" s="96" t="s">
        <v>214</v>
      </c>
      <c r="C199" s="85"/>
      <c r="D199" s="71" t="s">
        <v>66</v>
      </c>
      <c r="E199" s="67">
        <f>ROW(HideValues!$G102)</f>
        <v>102</v>
      </c>
      <c r="F199" s="67">
        <f>COLUMN(HideValues!$G102)</f>
        <v>7</v>
      </c>
      <c r="G199" s="231">
        <v>102</v>
      </c>
      <c r="H199" s="231">
        <v>7</v>
      </c>
      <c r="I199" s="82" t="s">
        <v>507</v>
      </c>
      <c r="J199" s="82" t="s">
        <v>531</v>
      </c>
      <c r="K199" s="294" t="s">
        <v>663</v>
      </c>
      <c r="L199" s="293" t="s">
        <v>1527</v>
      </c>
      <c r="M199" s="291" t="s">
        <v>1202</v>
      </c>
      <c r="N199" s="294" t="s">
        <v>1389</v>
      </c>
      <c r="O199" s="303">
        <v>187</v>
      </c>
      <c r="P199" s="303" t="s">
        <v>1064</v>
      </c>
      <c r="Q199" s="303" t="s">
        <v>1064</v>
      </c>
      <c r="R199" s="303" t="s">
        <v>1064</v>
      </c>
      <c r="S199" s="303" t="s">
        <v>1064</v>
      </c>
    </row>
    <row r="200" spans="1:19" ht="14.25" customHeight="1">
      <c r="A200" s="126" t="s">
        <v>522</v>
      </c>
      <c r="B200" s="96" t="s">
        <v>214</v>
      </c>
      <c r="C200" s="85"/>
      <c r="D200" s="71" t="s">
        <v>66</v>
      </c>
      <c r="E200" s="67">
        <f>ROW(HideValues!$G103)</f>
        <v>103</v>
      </c>
      <c r="F200" s="67">
        <f>COLUMN(HideValues!$G103)</f>
        <v>7</v>
      </c>
      <c r="G200" s="231">
        <v>103</v>
      </c>
      <c r="H200" s="231">
        <v>7</v>
      </c>
      <c r="I200" s="82" t="s">
        <v>508</v>
      </c>
      <c r="J200" s="82" t="s">
        <v>530</v>
      </c>
      <c r="K200" s="294" t="s">
        <v>662</v>
      </c>
      <c r="L200" s="293" t="s">
        <v>1528</v>
      </c>
      <c r="M200" s="291" t="s">
        <v>1203</v>
      </c>
      <c r="N200" s="294" t="s">
        <v>1390</v>
      </c>
      <c r="O200" s="303">
        <v>188</v>
      </c>
      <c r="P200" s="303" t="s">
        <v>1064</v>
      </c>
      <c r="Q200" s="303" t="s">
        <v>1064</v>
      </c>
      <c r="R200" s="303" t="s">
        <v>1064</v>
      </c>
      <c r="S200" s="303" t="s">
        <v>1064</v>
      </c>
    </row>
    <row r="201" spans="1:19" ht="14.25" customHeight="1">
      <c r="A201" s="126" t="s">
        <v>522</v>
      </c>
      <c r="B201" s="96" t="s">
        <v>214</v>
      </c>
      <c r="C201" s="85"/>
      <c r="D201" s="71" t="s">
        <v>66</v>
      </c>
      <c r="E201" s="67">
        <f>ROW(HideValues!$G104)</f>
        <v>104</v>
      </c>
      <c r="F201" s="67">
        <f>COLUMN(HideValues!$G104)</f>
        <v>7</v>
      </c>
      <c r="G201" s="231">
        <v>104</v>
      </c>
      <c r="H201" s="231">
        <v>7</v>
      </c>
      <c r="I201" s="82" t="s">
        <v>509</v>
      </c>
      <c r="J201" s="82" t="s">
        <v>393</v>
      </c>
      <c r="K201" s="294" t="s">
        <v>661</v>
      </c>
      <c r="L201" s="293" t="s">
        <v>1529</v>
      </c>
      <c r="M201" s="291" t="s">
        <v>1204</v>
      </c>
      <c r="N201" s="294" t="s">
        <v>1391</v>
      </c>
      <c r="O201" s="303">
        <v>189</v>
      </c>
      <c r="P201" s="303" t="s">
        <v>1064</v>
      </c>
      <c r="Q201" s="303" t="s">
        <v>1064</v>
      </c>
      <c r="R201" s="303" t="s">
        <v>1064</v>
      </c>
      <c r="S201" s="303" t="s">
        <v>1064</v>
      </c>
    </row>
    <row r="202" spans="1:19" ht="14.25" customHeight="1">
      <c r="A202" s="126" t="s">
        <v>522</v>
      </c>
      <c r="B202" s="96" t="s">
        <v>214</v>
      </c>
      <c r="C202" s="85"/>
      <c r="D202" s="71" t="s">
        <v>66</v>
      </c>
      <c r="E202" s="67">
        <f>ROW(HideValues!$G105)</f>
        <v>105</v>
      </c>
      <c r="F202" s="67">
        <f>COLUMN(HideValues!$G105)</f>
        <v>7</v>
      </c>
      <c r="G202" s="231">
        <v>105</v>
      </c>
      <c r="H202" s="231">
        <v>7</v>
      </c>
      <c r="I202" s="82" t="s">
        <v>510</v>
      </c>
      <c r="J202" s="82" t="s">
        <v>532</v>
      </c>
      <c r="K202" s="294" t="s">
        <v>783</v>
      </c>
      <c r="L202" s="293" t="s">
        <v>550</v>
      </c>
      <c r="M202" s="291" t="s">
        <v>1078</v>
      </c>
      <c r="N202" s="294" t="s">
        <v>1265</v>
      </c>
      <c r="O202" s="303">
        <v>190</v>
      </c>
      <c r="P202" s="303" t="s">
        <v>1064</v>
      </c>
      <c r="Q202" s="303" t="s">
        <v>1064</v>
      </c>
      <c r="R202" s="303" t="s">
        <v>1064</v>
      </c>
      <c r="S202" s="303" t="s">
        <v>1064</v>
      </c>
    </row>
    <row r="203" spans="1:19" ht="14.25" customHeight="1">
      <c r="A203" s="126" t="s">
        <v>522</v>
      </c>
      <c r="B203" s="96" t="s">
        <v>214</v>
      </c>
      <c r="C203" s="85"/>
      <c r="D203" s="71" t="s">
        <v>66</v>
      </c>
      <c r="E203" s="67">
        <f>ROW(HideValues!$G106)</f>
        <v>106</v>
      </c>
      <c r="F203" s="67">
        <f>COLUMN(HideValues!$G106)</f>
        <v>7</v>
      </c>
      <c r="G203" s="231">
        <v>106</v>
      </c>
      <c r="H203" s="231">
        <v>7</v>
      </c>
      <c r="I203" s="82" t="s">
        <v>511</v>
      </c>
      <c r="J203" s="82" t="s">
        <v>533</v>
      </c>
      <c r="K203" s="296" t="s">
        <v>784</v>
      </c>
      <c r="L203" s="293" t="s">
        <v>1450</v>
      </c>
      <c r="M203" s="291" t="s">
        <v>1080</v>
      </c>
      <c r="N203" s="296" t="s">
        <v>1267</v>
      </c>
      <c r="O203" s="303">
        <v>191</v>
      </c>
      <c r="P203" s="303" t="s">
        <v>1064</v>
      </c>
      <c r="Q203" s="303" t="s">
        <v>1064</v>
      </c>
      <c r="R203" s="303" t="s">
        <v>1064</v>
      </c>
      <c r="S203" s="303" t="s">
        <v>1064</v>
      </c>
    </row>
    <row r="204" spans="1:19" ht="14.25" customHeight="1">
      <c r="A204" s="126" t="s">
        <v>522</v>
      </c>
      <c r="B204" s="96" t="s">
        <v>214</v>
      </c>
      <c r="C204" s="85"/>
      <c r="D204" s="71" t="s">
        <v>66</v>
      </c>
      <c r="E204" s="67">
        <f>ROW(HideValues!$G107)</f>
        <v>107</v>
      </c>
      <c r="F204" s="67">
        <f>COLUMN(HideValues!$G107)</f>
        <v>7</v>
      </c>
      <c r="G204" s="231">
        <v>107</v>
      </c>
      <c r="H204" s="231">
        <v>7</v>
      </c>
      <c r="I204" s="82" t="s">
        <v>53</v>
      </c>
      <c r="J204" s="82" t="s">
        <v>534</v>
      </c>
      <c r="K204" s="303" t="s">
        <v>1585</v>
      </c>
      <c r="L204" s="294" t="s">
        <v>791</v>
      </c>
      <c r="M204" s="291" t="s">
        <v>1205</v>
      </c>
      <c r="N204" s="294" t="s">
        <v>1392</v>
      </c>
      <c r="O204" s="303">
        <v>192</v>
      </c>
      <c r="P204" s="303" t="s">
        <v>1064</v>
      </c>
      <c r="Q204" s="303" t="s">
        <v>1064</v>
      </c>
      <c r="R204" s="303" t="s">
        <v>1064</v>
      </c>
      <c r="S204" s="303" t="s">
        <v>1064</v>
      </c>
    </row>
    <row r="205" spans="1:19" ht="14.25" customHeight="1">
      <c r="A205" s="126" t="s">
        <v>522</v>
      </c>
      <c r="B205" s="96" t="s">
        <v>214</v>
      </c>
      <c r="C205" s="85"/>
      <c r="D205" s="71" t="s">
        <v>66</v>
      </c>
      <c r="E205" s="67">
        <f>ROW(HideValues!$G108)</f>
        <v>108</v>
      </c>
      <c r="F205" s="67">
        <f>COLUMN(HideValues!$G108)</f>
        <v>7</v>
      </c>
      <c r="G205" s="231">
        <v>108</v>
      </c>
      <c r="H205" s="231">
        <v>7</v>
      </c>
      <c r="I205" s="82" t="s">
        <v>512</v>
      </c>
      <c r="J205" s="82" t="s">
        <v>535</v>
      </c>
      <c r="K205" s="303" t="s">
        <v>1586</v>
      </c>
      <c r="L205" s="293" t="s">
        <v>1530</v>
      </c>
      <c r="M205" s="291" t="s">
        <v>1206</v>
      </c>
      <c r="N205" s="294" t="s">
        <v>1393</v>
      </c>
      <c r="O205" s="303">
        <v>193</v>
      </c>
      <c r="P205" s="303" t="s">
        <v>1064</v>
      </c>
      <c r="Q205" s="303" t="s">
        <v>1064</v>
      </c>
      <c r="R205" s="303" t="s">
        <v>1064</v>
      </c>
      <c r="S205" s="303" t="s">
        <v>1064</v>
      </c>
    </row>
    <row r="206" spans="1:19" ht="14.25" customHeight="1">
      <c r="A206" s="126" t="s">
        <v>522</v>
      </c>
      <c r="B206" s="96" t="s">
        <v>214</v>
      </c>
      <c r="C206" s="85"/>
      <c r="D206" s="71" t="s">
        <v>66</v>
      </c>
      <c r="E206" s="67">
        <f>ROW(HideValues!$G109)</f>
        <v>109</v>
      </c>
      <c r="F206" s="67">
        <f>COLUMN(HideValues!$G109)</f>
        <v>7</v>
      </c>
      <c r="G206" s="231">
        <v>109</v>
      </c>
      <c r="H206" s="231">
        <v>7</v>
      </c>
      <c r="I206" s="82" t="s">
        <v>513</v>
      </c>
      <c r="J206" s="82" t="s">
        <v>536</v>
      </c>
      <c r="K206" s="294" t="s">
        <v>785</v>
      </c>
      <c r="L206" s="293" t="s">
        <v>1531</v>
      </c>
      <c r="M206" s="291" t="s">
        <v>1207</v>
      </c>
      <c r="N206" s="294" t="s">
        <v>1394</v>
      </c>
      <c r="O206" s="303">
        <v>194</v>
      </c>
      <c r="P206" s="303" t="s">
        <v>1064</v>
      </c>
      <c r="Q206" s="303" t="s">
        <v>1064</v>
      </c>
      <c r="R206" s="303" t="s">
        <v>1064</v>
      </c>
      <c r="S206" s="303" t="s">
        <v>1064</v>
      </c>
    </row>
    <row r="207" spans="1:19" ht="14.25" customHeight="1">
      <c r="A207" s="126" t="s">
        <v>522</v>
      </c>
      <c r="B207" s="96" t="s">
        <v>214</v>
      </c>
      <c r="C207" s="85"/>
      <c r="D207" s="71" t="s">
        <v>66</v>
      </c>
      <c r="E207" s="67">
        <f>ROW(HideValues!$G110)</f>
        <v>110</v>
      </c>
      <c r="F207" s="67">
        <f>COLUMN(HideValues!$G110)</f>
        <v>7</v>
      </c>
      <c r="G207" s="231">
        <v>110</v>
      </c>
      <c r="H207" s="231">
        <v>7</v>
      </c>
      <c r="I207" s="82" t="s">
        <v>514</v>
      </c>
      <c r="J207" s="82" t="s">
        <v>537</v>
      </c>
      <c r="K207" s="303" t="s">
        <v>1587</v>
      </c>
      <c r="L207" s="293" t="s">
        <v>1532</v>
      </c>
      <c r="M207" s="291" t="s">
        <v>1208</v>
      </c>
      <c r="N207" s="294" t="s">
        <v>1395</v>
      </c>
      <c r="O207" s="303">
        <v>195</v>
      </c>
      <c r="P207" s="303" t="s">
        <v>1064</v>
      </c>
      <c r="Q207" s="303" t="s">
        <v>1064</v>
      </c>
      <c r="R207" s="303" t="s">
        <v>1064</v>
      </c>
      <c r="S207" s="303" t="s">
        <v>1064</v>
      </c>
    </row>
    <row r="208" spans="1:19" ht="14.25" customHeight="1">
      <c r="A208" s="126" t="s">
        <v>522</v>
      </c>
      <c r="B208" s="96" t="s">
        <v>214</v>
      </c>
      <c r="C208" s="85"/>
      <c r="D208" s="71" t="s">
        <v>66</v>
      </c>
      <c r="E208" s="67">
        <f>ROW(HideValues!$G111)</f>
        <v>111</v>
      </c>
      <c r="F208" s="67">
        <f>COLUMN(HideValues!$G111)</f>
        <v>7</v>
      </c>
      <c r="G208" s="231">
        <v>111</v>
      </c>
      <c r="H208" s="231">
        <v>7</v>
      </c>
      <c r="I208" s="82" t="s">
        <v>515</v>
      </c>
      <c r="J208" s="82" t="s">
        <v>538</v>
      </c>
      <c r="K208" s="303" t="s">
        <v>1588</v>
      </c>
      <c r="L208" s="293" t="s">
        <v>1533</v>
      </c>
      <c r="M208" s="291" t="s">
        <v>1209</v>
      </c>
      <c r="N208" s="294" t="s">
        <v>1396</v>
      </c>
      <c r="O208" s="303">
        <v>196</v>
      </c>
      <c r="P208" s="303" t="s">
        <v>1064</v>
      </c>
      <c r="Q208" s="303" t="s">
        <v>1064</v>
      </c>
      <c r="R208" s="303" t="s">
        <v>1064</v>
      </c>
      <c r="S208" s="303" t="s">
        <v>1064</v>
      </c>
    </row>
    <row r="209" spans="1:19" ht="14.25" customHeight="1">
      <c r="A209" s="126" t="s">
        <v>522</v>
      </c>
      <c r="B209" s="96" t="s">
        <v>214</v>
      </c>
      <c r="C209" s="85"/>
      <c r="D209" s="71" t="s">
        <v>66</v>
      </c>
      <c r="E209" s="67">
        <f>ROW(HideValues!$G112)</f>
        <v>112</v>
      </c>
      <c r="F209" s="67">
        <f>COLUMN(HideValues!$G112)</f>
        <v>7</v>
      </c>
      <c r="G209" s="231">
        <v>112</v>
      </c>
      <c r="H209" s="231">
        <v>7</v>
      </c>
      <c r="I209" s="82" t="s">
        <v>516</v>
      </c>
      <c r="J209" s="82" t="s">
        <v>539</v>
      </c>
      <c r="K209" s="294" t="s">
        <v>786</v>
      </c>
      <c r="L209" s="293" t="s">
        <v>1534</v>
      </c>
      <c r="M209" s="291" t="s">
        <v>1210</v>
      </c>
      <c r="N209" s="294" t="s">
        <v>1397</v>
      </c>
      <c r="O209" s="303">
        <v>197</v>
      </c>
      <c r="P209" s="303" t="s">
        <v>1064</v>
      </c>
      <c r="Q209" s="303" t="s">
        <v>1064</v>
      </c>
      <c r="R209" s="303" t="s">
        <v>1064</v>
      </c>
      <c r="S209" s="303" t="s">
        <v>1064</v>
      </c>
    </row>
    <row r="210" spans="1:19" ht="14.25" customHeight="1">
      <c r="A210" s="126" t="s">
        <v>522</v>
      </c>
      <c r="B210" s="96" t="s">
        <v>214</v>
      </c>
      <c r="C210" s="85"/>
      <c r="D210" s="71" t="s">
        <v>66</v>
      </c>
      <c r="E210" s="67">
        <f>ROW(HideValues!$G113)</f>
        <v>113</v>
      </c>
      <c r="F210" s="67">
        <f>COLUMN(HideValues!$G113)</f>
        <v>7</v>
      </c>
      <c r="G210" s="231">
        <v>113</v>
      </c>
      <c r="H210" s="231">
        <v>7</v>
      </c>
      <c r="I210" s="82" t="s">
        <v>517</v>
      </c>
      <c r="J210" s="82" t="s">
        <v>211</v>
      </c>
      <c r="K210" s="296" t="s">
        <v>787</v>
      </c>
      <c r="L210" s="293" t="s">
        <v>1535</v>
      </c>
      <c r="M210" s="291" t="s">
        <v>1211</v>
      </c>
      <c r="N210" s="296" t="s">
        <v>1398</v>
      </c>
      <c r="O210" s="303">
        <v>198</v>
      </c>
      <c r="P210" s="303" t="s">
        <v>1064</v>
      </c>
      <c r="Q210" s="303" t="s">
        <v>1064</v>
      </c>
      <c r="R210" s="303" t="s">
        <v>1064</v>
      </c>
      <c r="S210" s="303" t="s">
        <v>1064</v>
      </c>
    </row>
    <row r="211" spans="1:19" ht="14.25" customHeight="1">
      <c r="A211" s="126" t="s">
        <v>522</v>
      </c>
      <c r="B211" s="96" t="s">
        <v>214</v>
      </c>
      <c r="C211" s="85"/>
      <c r="D211" s="71" t="s">
        <v>66</v>
      </c>
      <c r="E211" s="67">
        <f>ROW(HideValues!$G114)</f>
        <v>114</v>
      </c>
      <c r="F211" s="67">
        <f>COLUMN(HideValues!$G114)</f>
        <v>7</v>
      </c>
      <c r="G211" s="231">
        <v>114</v>
      </c>
      <c r="H211" s="231">
        <v>7</v>
      </c>
      <c r="I211" s="82" t="s">
        <v>518</v>
      </c>
      <c r="J211" s="82" t="s">
        <v>540</v>
      </c>
      <c r="K211" s="294" t="s">
        <v>788</v>
      </c>
      <c r="L211" s="294" t="s">
        <v>792</v>
      </c>
      <c r="M211" s="291" t="s">
        <v>1212</v>
      </c>
      <c r="N211" s="294" t="s">
        <v>1399</v>
      </c>
      <c r="O211" s="303">
        <v>199</v>
      </c>
      <c r="P211" s="303" t="s">
        <v>1064</v>
      </c>
      <c r="Q211" s="303" t="s">
        <v>1064</v>
      </c>
      <c r="R211" s="303" t="s">
        <v>1064</v>
      </c>
      <c r="S211" s="303" t="s">
        <v>1064</v>
      </c>
    </row>
    <row r="212" spans="1:19" ht="14.25" customHeight="1">
      <c r="A212" s="126" t="s">
        <v>522</v>
      </c>
      <c r="B212" s="96" t="s">
        <v>214</v>
      </c>
      <c r="C212" s="85"/>
      <c r="D212" s="71" t="s">
        <v>66</v>
      </c>
      <c r="E212" s="67">
        <f>ROW(HideValues!$G115)</f>
        <v>115</v>
      </c>
      <c r="F212" s="67">
        <f>COLUMN(HideValues!$G115)</f>
        <v>7</v>
      </c>
      <c r="G212" s="231">
        <v>115</v>
      </c>
      <c r="H212" s="231">
        <v>7</v>
      </c>
      <c r="I212" s="82" t="s">
        <v>519</v>
      </c>
      <c r="J212" s="82" t="s">
        <v>471</v>
      </c>
      <c r="K212" s="303" t="s">
        <v>1589</v>
      </c>
      <c r="L212" s="294" t="s">
        <v>89</v>
      </c>
      <c r="M212" s="291" t="s">
        <v>1213</v>
      </c>
      <c r="N212" s="294" t="s">
        <v>519</v>
      </c>
      <c r="O212" s="303">
        <v>200</v>
      </c>
      <c r="P212" s="303" t="s">
        <v>1064</v>
      </c>
      <c r="Q212" s="303" t="s">
        <v>1064</v>
      </c>
      <c r="R212" s="303" t="s">
        <v>1064</v>
      </c>
      <c r="S212" s="303" t="s">
        <v>1064</v>
      </c>
    </row>
    <row r="213" spans="1:19" ht="14.25" customHeight="1">
      <c r="A213" s="126" t="s">
        <v>522</v>
      </c>
      <c r="B213" s="96" t="s">
        <v>214</v>
      </c>
      <c r="C213" s="85"/>
      <c r="D213" s="71" t="s">
        <v>66</v>
      </c>
      <c r="E213" s="67">
        <f>ROW(HideValues!$G116)</f>
        <v>116</v>
      </c>
      <c r="F213" s="67">
        <f>COLUMN(HideValues!$G116)</f>
        <v>7</v>
      </c>
      <c r="G213" s="231">
        <v>116</v>
      </c>
      <c r="H213" s="231">
        <v>7</v>
      </c>
      <c r="I213" s="82" t="s">
        <v>520</v>
      </c>
      <c r="J213" s="69" t="s">
        <v>248</v>
      </c>
      <c r="K213" s="303" t="s">
        <v>339</v>
      </c>
      <c r="L213" s="294" t="s">
        <v>704</v>
      </c>
      <c r="M213" s="291" t="s">
        <v>1178</v>
      </c>
      <c r="N213" s="294" t="s">
        <v>1364</v>
      </c>
      <c r="O213" s="303">
        <v>201</v>
      </c>
      <c r="P213" s="303" t="s">
        <v>1064</v>
      </c>
      <c r="Q213" s="303" t="s">
        <v>1064</v>
      </c>
      <c r="R213" s="303" t="s">
        <v>1064</v>
      </c>
      <c r="S213" s="303" t="s">
        <v>1064</v>
      </c>
    </row>
    <row r="214" spans="1:19" ht="14.25" customHeight="1">
      <c r="A214" s="126" t="s">
        <v>522</v>
      </c>
      <c r="B214" s="96" t="s">
        <v>214</v>
      </c>
      <c r="C214" s="85"/>
      <c r="D214" s="71" t="s">
        <v>66</v>
      </c>
      <c r="E214" s="67">
        <f>ROW(HideValues!$G117)</f>
        <v>117</v>
      </c>
      <c r="F214" s="67">
        <f>COLUMN(HideValues!$G117)</f>
        <v>7</v>
      </c>
      <c r="G214" s="231">
        <v>117</v>
      </c>
      <c r="H214" s="231">
        <v>7</v>
      </c>
      <c r="I214" s="186" t="s">
        <v>686</v>
      </c>
      <c r="J214" s="97" t="s">
        <v>685</v>
      </c>
      <c r="K214" s="303" t="s">
        <v>1590</v>
      </c>
      <c r="L214" s="293" t="s">
        <v>1536</v>
      </c>
      <c r="M214" s="291" t="s">
        <v>1214</v>
      </c>
      <c r="N214" s="294" t="s">
        <v>1400</v>
      </c>
      <c r="O214" s="303">
        <v>202</v>
      </c>
      <c r="P214" s="303" t="s">
        <v>1064</v>
      </c>
      <c r="Q214" s="303" t="s">
        <v>1064</v>
      </c>
      <c r="R214" s="303" t="s">
        <v>1064</v>
      </c>
      <c r="S214" s="303" t="s">
        <v>1064</v>
      </c>
    </row>
    <row r="215" spans="1:19" ht="14.25" customHeight="1">
      <c r="A215" s="215" t="s">
        <v>522</v>
      </c>
      <c r="B215" s="96" t="s">
        <v>214</v>
      </c>
      <c r="C215" s="85"/>
      <c r="D215" s="71" t="s">
        <v>66</v>
      </c>
      <c r="E215" s="67">
        <f>ROW(HideValues!$G118)</f>
        <v>118</v>
      </c>
      <c r="F215" s="67">
        <f>COLUMN(HideValues!$G118)</f>
        <v>7</v>
      </c>
      <c r="G215" s="231">
        <v>118</v>
      </c>
      <c r="H215" s="231">
        <v>7</v>
      </c>
      <c r="I215" s="97" t="s">
        <v>755</v>
      </c>
      <c r="J215" s="97" t="s">
        <v>755</v>
      </c>
      <c r="K215" s="294" t="s">
        <v>757</v>
      </c>
      <c r="L215" s="294" t="s">
        <v>756</v>
      </c>
      <c r="M215" s="291" t="s">
        <v>757</v>
      </c>
      <c r="N215" s="294" t="s">
        <v>1401</v>
      </c>
      <c r="O215" s="303">
        <v>203</v>
      </c>
      <c r="P215" s="303" t="s">
        <v>1064</v>
      </c>
      <c r="Q215" s="303" t="s">
        <v>1064</v>
      </c>
      <c r="R215" s="303" t="s">
        <v>1064</v>
      </c>
      <c r="S215" s="303" t="s">
        <v>1064</v>
      </c>
    </row>
    <row r="216" spans="1:19" ht="12.75" customHeight="1">
      <c r="A216" s="215" t="s">
        <v>522</v>
      </c>
      <c r="B216" s="96" t="s">
        <v>214</v>
      </c>
      <c r="C216" s="85"/>
      <c r="D216" s="71" t="s">
        <v>66</v>
      </c>
      <c r="E216" s="67">
        <f>ROW(HideValues!$G119)</f>
        <v>119</v>
      </c>
      <c r="F216" s="67">
        <f>COLUMN(HideValues!$G119)</f>
        <v>7</v>
      </c>
      <c r="G216" s="231">
        <v>119</v>
      </c>
      <c r="H216" s="231">
        <v>7</v>
      </c>
      <c r="I216" s="214" t="str">
        <f t="shared" ref="I216:M221" si="25">I39</f>
        <v>Default Colors</v>
      </c>
      <c r="J216" s="214" t="str">
        <f t="shared" si="25"/>
        <v>Palette par défaut</v>
      </c>
      <c r="K216" s="214" t="str">
        <f t="shared" si="25"/>
        <v>Paleta predeterminada</v>
      </c>
      <c r="L216" s="214" t="str">
        <f t="shared" si="25"/>
        <v>Standardfarben</v>
      </c>
      <c r="M216" s="214" t="str">
        <f t="shared" si="25"/>
        <v>Cores Padrão</v>
      </c>
      <c r="N216" s="95" t="str">
        <f t="shared" ref="N216:N221" ca="1" si="26">INDIRECT(ADDRESS(MATCH(I216,$I$20:$I$500,0)+19,14))</f>
        <v>Standaardkleuren</v>
      </c>
      <c r="O216" s="290">
        <v>204</v>
      </c>
      <c r="P216" s="303" t="s">
        <v>1064</v>
      </c>
      <c r="Q216" s="303" t="s">
        <v>1064</v>
      </c>
      <c r="R216" s="303" t="s">
        <v>1064</v>
      </c>
      <c r="S216" s="303" t="s">
        <v>1064</v>
      </c>
    </row>
    <row r="217" spans="1:19" ht="12.75" customHeight="1">
      <c r="A217" s="215" t="s">
        <v>522</v>
      </c>
      <c r="B217" s="96" t="s">
        <v>214</v>
      </c>
      <c r="C217" s="85"/>
      <c r="D217" s="71" t="s">
        <v>66</v>
      </c>
      <c r="E217" s="67">
        <f>ROW(HideValues!$G120)</f>
        <v>120</v>
      </c>
      <c r="F217" s="67">
        <f>COLUMN(HideValues!$G120)</f>
        <v>7</v>
      </c>
      <c r="G217" s="231">
        <v>120</v>
      </c>
      <c r="H217" s="231">
        <v>7</v>
      </c>
      <c r="I217" s="214" t="str">
        <f t="shared" si="25"/>
        <v>Blue set</v>
      </c>
      <c r="J217" s="214" t="str">
        <f t="shared" si="25"/>
        <v>Palette bleue</v>
      </c>
      <c r="K217" s="214" t="str">
        <f t="shared" si="25"/>
        <v>Paleta de color azul</v>
      </c>
      <c r="L217" s="214" t="str">
        <f t="shared" si="25"/>
        <v>Blau-Set</v>
      </c>
      <c r="M217" s="214" t="str">
        <f t="shared" si="25"/>
        <v>Conjunto azul</v>
      </c>
      <c r="N217" s="95" t="str">
        <f t="shared" ca="1" si="26"/>
        <v>Blauwe set</v>
      </c>
      <c r="O217" s="290">
        <v>205</v>
      </c>
      <c r="P217" s="303" t="s">
        <v>1064</v>
      </c>
      <c r="Q217" s="303" t="s">
        <v>1064</v>
      </c>
      <c r="R217" s="303" t="s">
        <v>1064</v>
      </c>
      <c r="S217" s="303" t="s">
        <v>1064</v>
      </c>
    </row>
    <row r="218" spans="1:19" ht="12.75" customHeight="1">
      <c r="A218" s="215" t="s">
        <v>522</v>
      </c>
      <c r="B218" s="96" t="s">
        <v>214</v>
      </c>
      <c r="C218" s="85"/>
      <c r="D218" s="71" t="s">
        <v>66</v>
      </c>
      <c r="E218" s="67">
        <f>ROW(HideValues!$G121)</f>
        <v>121</v>
      </c>
      <c r="F218" s="67">
        <f>COLUMN(HideValues!$G121)</f>
        <v>7</v>
      </c>
      <c r="G218" s="231">
        <v>121</v>
      </c>
      <c r="H218" s="231">
        <v>7</v>
      </c>
      <c r="I218" s="214" t="str">
        <f t="shared" si="25"/>
        <v>Purple set</v>
      </c>
      <c r="J218" s="214" t="str">
        <f t="shared" si="25"/>
        <v>Palette mauve</v>
      </c>
      <c r="K218" s="214" t="str">
        <f t="shared" si="25"/>
        <v>Paleta de color púrpura</v>
      </c>
      <c r="L218" s="214" t="str">
        <f t="shared" si="25"/>
        <v>Lila-Set</v>
      </c>
      <c r="M218" s="214" t="str">
        <f t="shared" si="25"/>
        <v>Conjunto roxo</v>
      </c>
      <c r="N218" s="95" t="str">
        <f t="shared" ca="1" si="26"/>
        <v>Paarse set</v>
      </c>
      <c r="O218" s="290">
        <v>206</v>
      </c>
      <c r="P218" s="303" t="s">
        <v>1064</v>
      </c>
      <c r="Q218" s="303" t="s">
        <v>1064</v>
      </c>
      <c r="R218" s="303" t="s">
        <v>1064</v>
      </c>
      <c r="S218" s="303" t="s">
        <v>1064</v>
      </c>
    </row>
    <row r="219" spans="1:19" ht="12.75" customHeight="1">
      <c r="A219" s="215" t="s">
        <v>522</v>
      </c>
      <c r="B219" s="96" t="s">
        <v>214</v>
      </c>
      <c r="C219" s="85"/>
      <c r="D219" s="71" t="s">
        <v>66</v>
      </c>
      <c r="E219" s="67">
        <f>ROW(HideValues!$G122)</f>
        <v>122</v>
      </c>
      <c r="F219" s="67">
        <f>COLUMN(HideValues!$G122)</f>
        <v>7</v>
      </c>
      <c r="G219" s="231">
        <v>122</v>
      </c>
      <c r="H219" s="231">
        <v>7</v>
      </c>
      <c r="I219" s="214" t="str">
        <f t="shared" si="25"/>
        <v>Orange set</v>
      </c>
      <c r="J219" s="214" t="str">
        <f t="shared" si="25"/>
        <v>Palette orange</v>
      </c>
      <c r="K219" s="214" t="str">
        <f t="shared" si="25"/>
        <v>Paleta de color naranja</v>
      </c>
      <c r="L219" s="214" t="str">
        <f t="shared" si="25"/>
        <v>Orange-Set</v>
      </c>
      <c r="M219" s="214" t="str">
        <f t="shared" si="25"/>
        <v>Conjunto laranja</v>
      </c>
      <c r="N219" s="95" t="str">
        <f t="shared" ca="1" si="26"/>
        <v>Oranje set</v>
      </c>
      <c r="O219" s="290">
        <v>207</v>
      </c>
      <c r="P219" s="303" t="s">
        <v>1064</v>
      </c>
      <c r="Q219" s="303" t="s">
        <v>1064</v>
      </c>
      <c r="R219" s="303" t="s">
        <v>1064</v>
      </c>
      <c r="S219" s="303" t="s">
        <v>1064</v>
      </c>
    </row>
    <row r="220" spans="1:19" ht="12.75" customHeight="1">
      <c r="A220" s="215" t="s">
        <v>522</v>
      </c>
      <c r="B220" s="96" t="s">
        <v>214</v>
      </c>
      <c r="C220" s="85"/>
      <c r="D220" s="71" t="s">
        <v>66</v>
      </c>
      <c r="E220" s="67">
        <f>ROW(HideValues!$G123)</f>
        <v>123</v>
      </c>
      <c r="F220" s="67">
        <f>COLUMN(HideValues!$G123)</f>
        <v>7</v>
      </c>
      <c r="G220" s="231">
        <v>123</v>
      </c>
      <c r="H220" s="231">
        <v>7</v>
      </c>
      <c r="I220" s="214" t="str">
        <f t="shared" si="25"/>
        <v>Pink set</v>
      </c>
      <c r="J220" s="214" t="str">
        <f t="shared" si="25"/>
        <v>Palette rose</v>
      </c>
      <c r="K220" s="214" t="str">
        <f t="shared" si="25"/>
        <v>Paleta de color rosa</v>
      </c>
      <c r="L220" s="214" t="str">
        <f t="shared" si="25"/>
        <v>Rosa-Set</v>
      </c>
      <c r="M220" s="214" t="str">
        <f t="shared" si="25"/>
        <v>Conjunto rosa</v>
      </c>
      <c r="N220" s="95" t="str">
        <f t="shared" ca="1" si="26"/>
        <v>Roze set</v>
      </c>
      <c r="O220" s="290">
        <v>208</v>
      </c>
      <c r="P220" s="303" t="s">
        <v>1064</v>
      </c>
      <c r="Q220" s="303" t="s">
        <v>1064</v>
      </c>
      <c r="R220" s="303" t="s">
        <v>1064</v>
      </c>
      <c r="S220" s="303" t="s">
        <v>1064</v>
      </c>
    </row>
    <row r="221" spans="1:19" ht="12.75" customHeight="1">
      <c r="A221" s="215" t="s">
        <v>522</v>
      </c>
      <c r="B221" s="96" t="s">
        <v>214</v>
      </c>
      <c r="C221" s="85"/>
      <c r="D221" s="71" t="s">
        <v>66</v>
      </c>
      <c r="E221" s="67">
        <f>ROW(HideValues!$G124)</f>
        <v>124</v>
      </c>
      <c r="F221" s="67">
        <f>COLUMN(HideValues!$G124)</f>
        <v>7</v>
      </c>
      <c r="G221" s="231">
        <v>124</v>
      </c>
      <c r="H221" s="231">
        <v>7</v>
      </c>
      <c r="I221" s="214" t="str">
        <f t="shared" si="25"/>
        <v>One color per person</v>
      </c>
      <c r="J221" s="214" t="str">
        <f t="shared" si="25"/>
        <v>Une couleur par personne</v>
      </c>
      <c r="K221" s="214" t="str">
        <f t="shared" si="25"/>
        <v>Un color por persona</v>
      </c>
      <c r="L221" s="214" t="str">
        <f t="shared" si="25"/>
        <v>Eine Farbe pro Person</v>
      </c>
      <c r="M221" s="214" t="str">
        <f t="shared" si="25"/>
        <v>Uma cor por pessoa</v>
      </c>
      <c r="N221" s="95" t="str">
        <f t="shared" ca="1" si="26"/>
        <v>Een kleur per persoon</v>
      </c>
      <c r="O221" s="290">
        <v>209</v>
      </c>
      <c r="P221" s="303" t="s">
        <v>1064</v>
      </c>
      <c r="Q221" s="303" t="s">
        <v>1064</v>
      </c>
      <c r="R221" s="303" t="s">
        <v>1064</v>
      </c>
      <c r="S221" s="303" t="s">
        <v>1064</v>
      </c>
    </row>
    <row r="222" spans="1:19" ht="12.75" customHeight="1">
      <c r="A222" s="215" t="s">
        <v>522</v>
      </c>
      <c r="B222" s="96" t="s">
        <v>214</v>
      </c>
      <c r="C222" s="85"/>
      <c r="D222" s="71" t="s">
        <v>66</v>
      </c>
      <c r="E222" s="67">
        <f>ROW(HideValues!$G125)</f>
        <v>125</v>
      </c>
      <c r="F222" s="67">
        <f>COLUMN(HideValues!$G125)</f>
        <v>7</v>
      </c>
      <c r="G222" s="231">
        <v>125</v>
      </c>
      <c r="H222" s="231">
        <v>7</v>
      </c>
      <c r="I222" s="97" t="s">
        <v>800</v>
      </c>
      <c r="J222" s="97" t="s">
        <v>806</v>
      </c>
      <c r="K222" s="291" t="s">
        <v>812</v>
      </c>
      <c r="L222" s="291" t="s">
        <v>808</v>
      </c>
      <c r="M222" s="291" t="s">
        <v>1215</v>
      </c>
      <c r="N222" s="291" t="s">
        <v>1402</v>
      </c>
      <c r="O222" s="303">
        <v>210</v>
      </c>
      <c r="P222" s="303" t="s">
        <v>1064</v>
      </c>
      <c r="Q222" s="303" t="s">
        <v>1064</v>
      </c>
      <c r="R222" s="303" t="s">
        <v>1064</v>
      </c>
      <c r="S222" s="303" t="s">
        <v>1064</v>
      </c>
    </row>
    <row r="223" spans="1:19" ht="12.75" customHeight="1">
      <c r="A223" s="215" t="s">
        <v>522</v>
      </c>
      <c r="B223" s="96" t="s">
        <v>214</v>
      </c>
      <c r="C223" s="85"/>
      <c r="D223" s="71" t="s">
        <v>66</v>
      </c>
      <c r="E223" s="67">
        <f>ROW(HideValues!$G126)</f>
        <v>126</v>
      </c>
      <c r="F223" s="67">
        <f>COLUMN(HideValues!$G126)</f>
        <v>7</v>
      </c>
      <c r="G223" s="231">
        <v>126</v>
      </c>
      <c r="H223" s="231">
        <v>7</v>
      </c>
      <c r="I223" s="97" t="s">
        <v>801</v>
      </c>
      <c r="J223" s="97" t="s">
        <v>862</v>
      </c>
      <c r="K223" s="303" t="s">
        <v>1591</v>
      </c>
      <c r="L223" s="291" t="s">
        <v>809</v>
      </c>
      <c r="M223" s="291" t="s">
        <v>1216</v>
      </c>
      <c r="N223" s="291" t="s">
        <v>1403</v>
      </c>
      <c r="O223" s="303">
        <v>211</v>
      </c>
      <c r="P223" s="303" t="s">
        <v>1064</v>
      </c>
      <c r="Q223" s="303" t="s">
        <v>1064</v>
      </c>
      <c r="R223" s="303" t="s">
        <v>1064</v>
      </c>
      <c r="S223" s="303" t="s">
        <v>1064</v>
      </c>
    </row>
    <row r="224" spans="1:19" ht="12.75" customHeight="1">
      <c r="A224" s="215" t="s">
        <v>522</v>
      </c>
      <c r="B224" s="96" t="s">
        <v>214</v>
      </c>
      <c r="C224" s="85"/>
      <c r="D224" s="71" t="s">
        <v>66</v>
      </c>
      <c r="E224" s="67">
        <f>ROW(HideValues!$G127)</f>
        <v>127</v>
      </c>
      <c r="F224" s="67">
        <f>COLUMN(HideValues!$G127)</f>
        <v>7</v>
      </c>
      <c r="G224" s="231">
        <v>127</v>
      </c>
      <c r="H224" s="231">
        <v>7</v>
      </c>
      <c r="I224" s="97" t="s">
        <v>802</v>
      </c>
      <c r="J224" s="97" t="s">
        <v>863</v>
      </c>
      <c r="K224" s="303" t="s">
        <v>1592</v>
      </c>
      <c r="L224" s="291" t="s">
        <v>810</v>
      </c>
      <c r="M224" s="291" t="s">
        <v>1217</v>
      </c>
      <c r="N224" s="291" t="s">
        <v>1404</v>
      </c>
      <c r="O224" s="303">
        <v>212</v>
      </c>
      <c r="P224" s="303" t="s">
        <v>1064</v>
      </c>
      <c r="Q224" s="303" t="s">
        <v>1064</v>
      </c>
      <c r="R224" s="303" t="s">
        <v>1064</v>
      </c>
      <c r="S224" s="303" t="s">
        <v>1064</v>
      </c>
    </row>
    <row r="225" spans="1:19" ht="12.75" customHeight="1">
      <c r="A225" s="215" t="s">
        <v>522</v>
      </c>
      <c r="B225" s="96" t="s">
        <v>214</v>
      </c>
      <c r="C225" s="85"/>
      <c r="D225" s="71" t="s">
        <v>66</v>
      </c>
      <c r="E225" s="67">
        <f>ROW(HideValues!$G128)</f>
        <v>128</v>
      </c>
      <c r="F225" s="67">
        <f>COLUMN(HideValues!$G128)</f>
        <v>7</v>
      </c>
      <c r="G225" s="231">
        <v>128</v>
      </c>
      <c r="H225" s="231">
        <v>7</v>
      </c>
      <c r="I225" s="97" t="s">
        <v>803</v>
      </c>
      <c r="J225" s="97" t="s">
        <v>864</v>
      </c>
      <c r="K225" s="303" t="s">
        <v>1593</v>
      </c>
      <c r="L225" s="293" t="s">
        <v>1537</v>
      </c>
      <c r="M225" s="291" t="s">
        <v>1218</v>
      </c>
      <c r="N225" s="291" t="s">
        <v>1405</v>
      </c>
      <c r="O225" s="303">
        <v>213</v>
      </c>
      <c r="P225" s="303" t="s">
        <v>1064</v>
      </c>
      <c r="Q225" s="303" t="s">
        <v>1064</v>
      </c>
      <c r="R225" s="303" t="s">
        <v>1064</v>
      </c>
      <c r="S225" s="303" t="s">
        <v>1064</v>
      </c>
    </row>
    <row r="226" spans="1:19" ht="12.75" customHeight="1">
      <c r="A226" s="215" t="s">
        <v>522</v>
      </c>
      <c r="B226" s="96" t="s">
        <v>214</v>
      </c>
      <c r="C226" s="85"/>
      <c r="D226" s="71" t="s">
        <v>66</v>
      </c>
      <c r="E226" s="67">
        <f>ROW(HideValues!$G129)</f>
        <v>129</v>
      </c>
      <c r="F226" s="67">
        <f>COLUMN(HideValues!$G129)</f>
        <v>7</v>
      </c>
      <c r="G226" s="231">
        <v>129</v>
      </c>
      <c r="H226" s="231">
        <v>7</v>
      </c>
      <c r="I226" s="97" t="s">
        <v>804</v>
      </c>
      <c r="J226" s="97" t="s">
        <v>865</v>
      </c>
      <c r="K226" s="303" t="s">
        <v>1594</v>
      </c>
      <c r="L226" s="291" t="s">
        <v>811</v>
      </c>
      <c r="M226" s="291" t="s">
        <v>1219</v>
      </c>
      <c r="N226" s="291" t="s">
        <v>1406</v>
      </c>
      <c r="O226" s="303">
        <v>214</v>
      </c>
      <c r="P226" s="303" t="s">
        <v>1064</v>
      </c>
      <c r="Q226" s="303" t="s">
        <v>1064</v>
      </c>
      <c r="R226" s="303" t="s">
        <v>1064</v>
      </c>
      <c r="S226" s="303" t="s">
        <v>1064</v>
      </c>
    </row>
    <row r="227" spans="1:19" ht="12.75" customHeight="1">
      <c r="A227" s="215" t="s">
        <v>522</v>
      </c>
      <c r="B227" s="96" t="s">
        <v>214</v>
      </c>
      <c r="C227" s="85"/>
      <c r="D227" s="71" t="s">
        <v>66</v>
      </c>
      <c r="E227" s="67">
        <f>ROW(HideValues!$G130)</f>
        <v>130</v>
      </c>
      <c r="F227" s="67">
        <f>COLUMN(HideValues!$G130)</f>
        <v>7</v>
      </c>
      <c r="G227" s="231">
        <v>130</v>
      </c>
      <c r="H227" s="231">
        <v>7</v>
      </c>
      <c r="I227" s="97" t="s">
        <v>805</v>
      </c>
      <c r="J227" s="97" t="s">
        <v>807</v>
      </c>
      <c r="K227" s="291" t="s">
        <v>813</v>
      </c>
      <c r="L227" s="293" t="s">
        <v>1538</v>
      </c>
      <c r="M227" s="291" t="s">
        <v>1220</v>
      </c>
      <c r="N227" s="291" t="s">
        <v>1407</v>
      </c>
      <c r="O227" s="303">
        <v>215</v>
      </c>
      <c r="P227" s="303" t="s">
        <v>1064</v>
      </c>
      <c r="Q227" s="303" t="s">
        <v>1064</v>
      </c>
      <c r="R227" s="303" t="s">
        <v>1064</v>
      </c>
      <c r="S227" s="303" t="s">
        <v>1064</v>
      </c>
    </row>
    <row r="228" spans="1:19" ht="12.75" customHeight="1">
      <c r="A228" s="215" t="s">
        <v>522</v>
      </c>
      <c r="B228" s="96" t="s">
        <v>214</v>
      </c>
      <c r="C228" s="85"/>
      <c r="D228" s="71" t="s">
        <v>66</v>
      </c>
      <c r="E228" s="67">
        <f>ROW(HideValues!$G131)</f>
        <v>131</v>
      </c>
      <c r="F228" s="67">
        <f>COLUMN(HideValues!$G131)</f>
        <v>7</v>
      </c>
      <c r="G228" s="231">
        <v>131</v>
      </c>
      <c r="H228" s="231">
        <v>7</v>
      </c>
      <c r="I228" s="97" t="s">
        <v>816</v>
      </c>
      <c r="J228" s="97" t="s">
        <v>818</v>
      </c>
      <c r="K228" s="303" t="s">
        <v>1595</v>
      </c>
      <c r="L228" s="293" t="s">
        <v>1539</v>
      </c>
      <c r="M228" s="291" t="s">
        <v>1221</v>
      </c>
      <c r="N228" s="291" t="s">
        <v>1408</v>
      </c>
      <c r="O228" s="303">
        <v>216</v>
      </c>
      <c r="P228" s="303" t="s">
        <v>1064</v>
      </c>
      <c r="Q228" s="303" t="s">
        <v>1064</v>
      </c>
      <c r="R228" s="303" t="s">
        <v>1064</v>
      </c>
      <c r="S228" s="303" t="s">
        <v>1064</v>
      </c>
    </row>
    <row r="229" spans="1:19" ht="12.75" customHeight="1">
      <c r="A229" s="215" t="s">
        <v>522</v>
      </c>
      <c r="B229" s="96" t="s">
        <v>214</v>
      </c>
      <c r="C229" s="85"/>
      <c r="D229" s="71" t="s">
        <v>66</v>
      </c>
      <c r="E229" s="67">
        <f>ROW(HideValues!$G132)</f>
        <v>132</v>
      </c>
      <c r="F229" s="67">
        <f>COLUMN(HideValues!$G132)</f>
        <v>7</v>
      </c>
      <c r="G229" s="231">
        <v>132</v>
      </c>
      <c r="H229" s="231">
        <v>7</v>
      </c>
      <c r="I229" s="97" t="s">
        <v>817</v>
      </c>
      <c r="J229" s="97" t="s">
        <v>819</v>
      </c>
      <c r="K229" s="303" t="s">
        <v>1596</v>
      </c>
      <c r="L229" s="293" t="s">
        <v>1540</v>
      </c>
      <c r="M229" s="291" t="s">
        <v>1222</v>
      </c>
      <c r="N229" s="291" t="s">
        <v>1409</v>
      </c>
      <c r="O229" s="303">
        <v>217</v>
      </c>
      <c r="P229" s="303" t="s">
        <v>1064</v>
      </c>
      <c r="Q229" s="303" t="s">
        <v>1064</v>
      </c>
      <c r="R229" s="303" t="s">
        <v>1064</v>
      </c>
      <c r="S229" s="303" t="s">
        <v>1064</v>
      </c>
    </row>
    <row r="230" spans="1:19" ht="12.75" customHeight="1">
      <c r="A230" s="217" t="s">
        <v>643</v>
      </c>
      <c r="B230" s="96" t="s">
        <v>214</v>
      </c>
      <c r="C230" s="85"/>
      <c r="D230" s="71" t="s">
        <v>66</v>
      </c>
      <c r="E230" s="67">
        <f>ROW(HideValues!$G133)</f>
        <v>133</v>
      </c>
      <c r="F230" s="67">
        <f>COLUMN(HideValues!$G133)</f>
        <v>7</v>
      </c>
      <c r="G230" s="231">
        <v>133</v>
      </c>
      <c r="H230" s="231">
        <v>7</v>
      </c>
      <c r="I230" s="95" t="s">
        <v>519</v>
      </c>
      <c r="J230" s="95" t="str">
        <f ca="1">INDIRECT(ADDRESS(MATCH(I230,$I$20:$I$233,0)+19,10))</f>
        <v>Aide</v>
      </c>
      <c r="K230" s="95" t="str">
        <f ca="1">INDIRECT(ADDRESS(MATCH(I230,$I$20:$I$319,0)+19,11))</f>
        <v>Ayuda</v>
      </c>
      <c r="L230" s="95" t="str">
        <f ca="1">INDIRECT(ADDRESS(MATCH(I230,$I$20:$I$330,0)+19,12))</f>
        <v>Hilfe</v>
      </c>
      <c r="M230" s="95" t="str">
        <f ca="1">INDIRECT(ADDRESS(MATCH(I230,$I$20:$I$500,0)+19,13))</f>
        <v>Ajuda</v>
      </c>
      <c r="N230" s="95" t="str">
        <f ca="1">INDIRECT(ADDRESS(MATCH(I230,$I$20:$I$500,0)+19,14))</f>
        <v>Help</v>
      </c>
      <c r="O230" s="290">
        <v>218</v>
      </c>
      <c r="P230" s="303" t="s">
        <v>1064</v>
      </c>
      <c r="Q230" s="303" t="s">
        <v>1064</v>
      </c>
      <c r="R230" s="303" t="s">
        <v>1064</v>
      </c>
      <c r="S230" s="303" t="s">
        <v>1064</v>
      </c>
    </row>
    <row r="231" spans="1:19" ht="12.75" customHeight="1">
      <c r="A231" s="110" t="s">
        <v>643</v>
      </c>
      <c r="B231" s="96" t="s">
        <v>214</v>
      </c>
      <c r="C231" s="85"/>
      <c r="D231" s="71" t="s">
        <v>66</v>
      </c>
      <c r="E231" s="67">
        <f>ROW(HideValues!K87)</f>
        <v>87</v>
      </c>
      <c r="F231" s="67">
        <f>COLUMN(HideValues!K87)</f>
        <v>11</v>
      </c>
      <c r="G231" s="231">
        <v>87</v>
      </c>
      <c r="H231" s="231">
        <v>11</v>
      </c>
      <c r="I231" s="186" t="s">
        <v>574</v>
      </c>
      <c r="J231" s="97" t="s">
        <v>656</v>
      </c>
      <c r="K231" s="297" t="s">
        <v>777</v>
      </c>
      <c r="L231" s="293" t="s">
        <v>1541</v>
      </c>
      <c r="M231" s="291" t="s">
        <v>777</v>
      </c>
      <c r="N231" s="302" t="s">
        <v>1410</v>
      </c>
      <c r="O231" s="303">
        <v>219</v>
      </c>
      <c r="P231" s="303" t="s">
        <v>1064</v>
      </c>
      <c r="Q231" s="303" t="s">
        <v>1064</v>
      </c>
      <c r="R231" s="303" t="s">
        <v>1064</v>
      </c>
      <c r="S231" s="303" t="s">
        <v>1064</v>
      </c>
    </row>
    <row r="232" spans="1:19" ht="12.75" customHeight="1">
      <c r="A232" s="110" t="s">
        <v>643</v>
      </c>
      <c r="B232" s="96" t="s">
        <v>214</v>
      </c>
      <c r="C232" s="85"/>
      <c r="D232" s="71" t="s">
        <v>66</v>
      </c>
      <c r="E232" s="67">
        <f>ROW(HideValues!K88)</f>
        <v>88</v>
      </c>
      <c r="F232" s="67">
        <f>COLUMN(HideValues!K88)</f>
        <v>11</v>
      </c>
      <c r="G232" s="231">
        <v>88</v>
      </c>
      <c r="H232" s="231">
        <v>11</v>
      </c>
      <c r="I232" s="186" t="s">
        <v>560</v>
      </c>
      <c r="J232" s="97" t="s">
        <v>657</v>
      </c>
      <c r="K232" s="303" t="s">
        <v>1597</v>
      </c>
      <c r="L232" s="293" t="s">
        <v>1542</v>
      </c>
      <c r="M232" s="291" t="s">
        <v>1223</v>
      </c>
      <c r="N232" s="302" t="s">
        <v>1411</v>
      </c>
      <c r="O232" s="303">
        <v>220</v>
      </c>
      <c r="P232" s="303" t="s">
        <v>1064</v>
      </c>
      <c r="Q232" s="303" t="s">
        <v>1064</v>
      </c>
      <c r="R232" s="303" t="s">
        <v>1064</v>
      </c>
      <c r="S232" s="303" t="s">
        <v>1064</v>
      </c>
    </row>
    <row r="233" spans="1:19" ht="12.75" customHeight="1">
      <c r="A233" s="110" t="s">
        <v>643</v>
      </c>
      <c r="B233" s="96" t="s">
        <v>214</v>
      </c>
      <c r="C233" s="85"/>
      <c r="D233" s="71" t="s">
        <v>66</v>
      </c>
      <c r="E233" s="67">
        <f>ROW(HideValues!K89)</f>
        <v>89</v>
      </c>
      <c r="F233" s="67">
        <f>COLUMN(HideValues!K89)</f>
        <v>11</v>
      </c>
      <c r="G233" s="231">
        <v>89</v>
      </c>
      <c r="H233" s="231">
        <v>11</v>
      </c>
      <c r="I233" s="186" t="s">
        <v>561</v>
      </c>
      <c r="J233" s="97" t="s">
        <v>658</v>
      </c>
      <c r="K233" s="297" t="s">
        <v>770</v>
      </c>
      <c r="L233" s="302" t="s">
        <v>765</v>
      </c>
      <c r="M233" s="291" t="s">
        <v>1224</v>
      </c>
      <c r="N233" s="302" t="s">
        <v>1412</v>
      </c>
      <c r="O233" s="303">
        <v>221</v>
      </c>
      <c r="P233" s="303" t="s">
        <v>1064</v>
      </c>
      <c r="Q233" s="303" t="s">
        <v>1064</v>
      </c>
      <c r="R233" s="303" t="s">
        <v>1064</v>
      </c>
      <c r="S233" s="303" t="s">
        <v>1064</v>
      </c>
    </row>
    <row r="234" spans="1:19" ht="14.25" customHeight="1">
      <c r="A234" s="110" t="s">
        <v>643</v>
      </c>
      <c r="B234" s="96" t="s">
        <v>214</v>
      </c>
      <c r="C234" s="85"/>
      <c r="D234" s="71" t="s">
        <v>66</v>
      </c>
      <c r="E234" s="67">
        <f>ROW(HideValues!K90)</f>
        <v>90</v>
      </c>
      <c r="F234" s="67">
        <f>COLUMN(HideValues!K90)</f>
        <v>11</v>
      </c>
      <c r="G234" s="231">
        <v>90</v>
      </c>
      <c r="H234" s="231">
        <v>11</v>
      </c>
      <c r="I234" s="126" t="s">
        <v>401</v>
      </c>
      <c r="J234" s="187" t="s">
        <v>411</v>
      </c>
      <c r="K234" s="294" t="s">
        <v>404</v>
      </c>
      <c r="L234" s="293" t="s">
        <v>1505</v>
      </c>
      <c r="M234" s="291" t="s">
        <v>1174</v>
      </c>
      <c r="N234" s="294" t="s">
        <v>1360</v>
      </c>
      <c r="O234" s="303">
        <v>222</v>
      </c>
      <c r="P234" s="303" t="s">
        <v>1064</v>
      </c>
      <c r="Q234" s="303" t="s">
        <v>1064</v>
      </c>
      <c r="R234" s="303" t="s">
        <v>1064</v>
      </c>
      <c r="S234" s="303" t="s">
        <v>1064</v>
      </c>
    </row>
    <row r="235" spans="1:19" ht="14.25" customHeight="1">
      <c r="A235" s="110" t="s">
        <v>643</v>
      </c>
      <c r="B235" s="96" t="s">
        <v>214</v>
      </c>
      <c r="C235" s="85"/>
      <c r="D235" s="71" t="s">
        <v>66</v>
      </c>
      <c r="E235" s="67">
        <f>ROW(HideValues!K91)</f>
        <v>91</v>
      </c>
      <c r="F235" s="67">
        <f>COLUMN(HideValues!K91)</f>
        <v>11</v>
      </c>
      <c r="G235" s="231">
        <v>91</v>
      </c>
      <c r="H235" s="231">
        <v>11</v>
      </c>
      <c r="I235" s="193" t="s">
        <v>400</v>
      </c>
      <c r="J235" s="187" t="s">
        <v>412</v>
      </c>
      <c r="K235" s="294" t="s">
        <v>405</v>
      </c>
      <c r="L235" s="293" t="s">
        <v>1506</v>
      </c>
      <c r="M235" s="291" t="s">
        <v>1175</v>
      </c>
      <c r="N235" s="294" t="s">
        <v>1361</v>
      </c>
      <c r="O235" s="303">
        <v>223</v>
      </c>
      <c r="P235" s="303" t="s">
        <v>1064</v>
      </c>
      <c r="Q235" s="303" t="s">
        <v>1064</v>
      </c>
      <c r="R235" s="303" t="s">
        <v>1064</v>
      </c>
      <c r="S235" s="303" t="s">
        <v>1064</v>
      </c>
    </row>
    <row r="236" spans="1:19" ht="12.75" customHeight="1">
      <c r="A236" s="110" t="s">
        <v>643</v>
      </c>
      <c r="B236" s="96" t="s">
        <v>214</v>
      </c>
      <c r="C236" s="85"/>
      <c r="D236" s="71" t="s">
        <v>66</v>
      </c>
      <c r="E236" s="67">
        <f>ROW(HideValues!K92)</f>
        <v>92</v>
      </c>
      <c r="F236" s="67">
        <f>COLUMN(HideValues!K92)</f>
        <v>11</v>
      </c>
      <c r="G236" s="231">
        <v>92</v>
      </c>
      <c r="H236" s="231">
        <v>11</v>
      </c>
      <c r="I236" s="185" t="s">
        <v>501</v>
      </c>
      <c r="J236" s="95" t="str">
        <f ca="1">INDIRECT(ADDRESS(MATCH(I236,$I$20:$I$500,0)+19,10))</f>
        <v>Après la dernière ligne</v>
      </c>
      <c r="K236" s="95" t="str">
        <f ca="1">INDIRECT(ADDRESS(MATCH(I236,$I$20:$I$500,0)+19,11))</f>
        <v>Última en esta serie</v>
      </c>
      <c r="L236" s="95" t="str">
        <f ca="1">INDIRECT(ADDRESS(MATCH(I236,$I$20:$I$500,0)+19,12))</f>
        <v>Zuletzt in dieser Serie</v>
      </c>
      <c r="M236" s="95" t="str">
        <f ca="1">INDIRECT(ADDRESS(MATCH(I236,$I$20:$I$500,0)+19,13))</f>
        <v>Último desta série</v>
      </c>
      <c r="N236" s="95" t="str">
        <f ca="1">INDIRECT(ADDRESS(MATCH(I236,$I$20:$I$500,0)+19,14))</f>
        <v>Laatste in deze serie</v>
      </c>
      <c r="O236" s="290">
        <v>224</v>
      </c>
      <c r="P236" s="303" t="s">
        <v>1064</v>
      </c>
      <c r="Q236" s="303" t="s">
        <v>1064</v>
      </c>
      <c r="R236" s="303" t="s">
        <v>1064</v>
      </c>
      <c r="S236" s="303" t="s">
        <v>1064</v>
      </c>
    </row>
    <row r="237" spans="1:19" ht="12.75" customHeight="1">
      <c r="A237" s="110" t="s">
        <v>643</v>
      </c>
      <c r="B237" s="96" t="s">
        <v>214</v>
      </c>
      <c r="C237" s="85"/>
      <c r="D237" s="71" t="s">
        <v>66</v>
      </c>
      <c r="E237" s="67">
        <f>ROW(HideValues!K93)</f>
        <v>93</v>
      </c>
      <c r="F237" s="67">
        <f>COLUMN(HideValues!K93)</f>
        <v>11</v>
      </c>
      <c r="G237" s="231">
        <v>93</v>
      </c>
      <c r="H237" s="231">
        <v>11</v>
      </c>
      <c r="I237" s="186" t="s">
        <v>562</v>
      </c>
      <c r="J237" s="97" t="s">
        <v>659</v>
      </c>
      <c r="K237" s="297" t="s">
        <v>771</v>
      </c>
      <c r="L237" s="302" t="s">
        <v>766</v>
      </c>
      <c r="M237" s="291" t="s">
        <v>1225</v>
      </c>
      <c r="N237" s="302" t="s">
        <v>1413</v>
      </c>
      <c r="O237" s="303">
        <v>225</v>
      </c>
      <c r="P237" s="303" t="s">
        <v>1064</v>
      </c>
      <c r="Q237" s="303" t="s">
        <v>1064</v>
      </c>
      <c r="R237" s="303" t="s">
        <v>1064</v>
      </c>
      <c r="S237" s="303" t="s">
        <v>1064</v>
      </c>
    </row>
    <row r="238" spans="1:19" ht="12.75" customHeight="1">
      <c r="A238" s="110" t="s">
        <v>643</v>
      </c>
      <c r="B238" s="96" t="s">
        <v>214</v>
      </c>
      <c r="C238" s="85"/>
      <c r="D238" s="71" t="s">
        <v>66</v>
      </c>
      <c r="E238" s="67">
        <f>ROW(HideValues!K94)</f>
        <v>94</v>
      </c>
      <c r="F238" s="67">
        <f>COLUMN(HideValues!K94)</f>
        <v>11</v>
      </c>
      <c r="G238" s="231">
        <v>94</v>
      </c>
      <c r="H238" s="231">
        <v>11</v>
      </c>
      <c r="I238" s="185" t="s">
        <v>563</v>
      </c>
      <c r="J238" s="95" t="str">
        <f ca="1">INDIRECT(ADDRESS(MATCH(I238,$I$20:$I$500,0)+19,10))</f>
        <v>Supprimer la tâche</v>
      </c>
      <c r="K238" s="95" t="str">
        <f ca="1">INDIRECT(ADDRESS(MATCH(I238,$I$20:$I$500,0)+19,11))</f>
        <v>Eliminar tarea</v>
      </c>
      <c r="L238" s="95" t="str">
        <f ca="1">INDIRECT(ADDRESS(MATCH(I238,$I$20:$I$500,0)+19,12))</f>
        <v>Aufgabenliste löschen</v>
      </c>
      <c r="M238" s="95" t="str">
        <f ca="1">INDIRECT(ADDRESS(MATCH(I238,$I$20:$I$500,0)+19,13))</f>
        <v>Excluir a tarefa</v>
      </c>
      <c r="N238" s="95" t="str">
        <f ca="1">INDIRECT(ADDRESS(MATCH(I238,$I$20:$I$500,0)+19,14))</f>
        <v>Verwijder de taak</v>
      </c>
      <c r="O238" s="290">
        <v>226</v>
      </c>
      <c r="P238" s="303" t="s">
        <v>1064</v>
      </c>
      <c r="Q238" s="303" t="s">
        <v>1064</v>
      </c>
      <c r="R238" s="303" t="s">
        <v>1064</v>
      </c>
      <c r="S238" s="303" t="s">
        <v>1064</v>
      </c>
    </row>
    <row r="239" spans="1:19" ht="12.75" customHeight="1">
      <c r="A239" s="110" t="s">
        <v>643</v>
      </c>
      <c r="B239" s="96" t="s">
        <v>214</v>
      </c>
      <c r="C239" s="85"/>
      <c r="D239" s="71" t="s">
        <v>66</v>
      </c>
      <c r="E239" s="67">
        <f>ROW(HideValues!K95)</f>
        <v>95</v>
      </c>
      <c r="F239" s="67">
        <f>COLUMN(HideValues!K95)</f>
        <v>11</v>
      </c>
      <c r="G239" s="231">
        <v>95</v>
      </c>
      <c r="H239" s="231">
        <v>11</v>
      </c>
      <c r="I239" s="185" t="s">
        <v>503</v>
      </c>
      <c r="J239" s="95" t="str">
        <f ca="1">INDIRECT(ADDRESS(MATCH(I239,$I$20:$I$500,0)+19,10))</f>
        <v>Supprimer la série</v>
      </c>
      <c r="K239" s="95" t="str">
        <f ca="1">INDIRECT(ADDRESS(MATCH(I239,$I$20:$I$500,0)+19,11))</f>
        <v>Eliminar serie</v>
      </c>
      <c r="L239" s="95" t="str">
        <f ca="1">INDIRECT(ADDRESS(MATCH(I239,$I$20:$I$500,0)+19,12))</f>
        <v>Löschen Sie die Serie</v>
      </c>
      <c r="M239" s="95" t="str">
        <f ca="1">INDIRECT(ADDRESS(MATCH(I239,$I$20:$I$500,0)+19,13))</f>
        <v>Excluir a série</v>
      </c>
      <c r="N239" s="95" t="str">
        <f ca="1">INDIRECT(ADDRESS(MATCH(I239,$I$20:$I$500,0)+19,14))</f>
        <v>Verwijder de serie</v>
      </c>
      <c r="O239" s="290">
        <v>227</v>
      </c>
      <c r="P239" s="303" t="s">
        <v>1064</v>
      </c>
      <c r="Q239" s="303" t="s">
        <v>1064</v>
      </c>
      <c r="R239" s="303" t="s">
        <v>1064</v>
      </c>
      <c r="S239" s="303" t="s">
        <v>1064</v>
      </c>
    </row>
    <row r="240" spans="1:19" ht="12.75" customHeight="1">
      <c r="A240" s="110" t="s">
        <v>643</v>
      </c>
      <c r="B240" s="96" t="s">
        <v>214</v>
      </c>
      <c r="C240" s="85"/>
      <c r="D240" s="71" t="s">
        <v>66</v>
      </c>
      <c r="E240" s="67">
        <f>ROW(HideValues!K96)</f>
        <v>96</v>
      </c>
      <c r="F240" s="67">
        <f>COLUMN(HideValues!K96)</f>
        <v>11</v>
      </c>
      <c r="G240" s="231">
        <v>96</v>
      </c>
      <c r="H240" s="231">
        <v>11</v>
      </c>
      <c r="I240" s="186" t="s">
        <v>585</v>
      </c>
      <c r="J240" s="97" t="s">
        <v>660</v>
      </c>
      <c r="K240" s="297" t="s">
        <v>772</v>
      </c>
      <c r="L240" s="297" t="s">
        <v>767</v>
      </c>
      <c r="M240" s="291" t="s">
        <v>772</v>
      </c>
      <c r="N240" s="297" t="s">
        <v>1414</v>
      </c>
      <c r="O240" s="303">
        <v>228</v>
      </c>
      <c r="P240" s="303" t="s">
        <v>1064</v>
      </c>
      <c r="Q240" s="303" t="s">
        <v>1064</v>
      </c>
      <c r="R240" s="303" t="s">
        <v>1064</v>
      </c>
      <c r="S240" s="303" t="s">
        <v>1064</v>
      </c>
    </row>
    <row r="241" spans="1:19" ht="12.75" customHeight="1">
      <c r="A241" s="110" t="s">
        <v>643</v>
      </c>
      <c r="B241" s="96" t="s">
        <v>214</v>
      </c>
      <c r="C241" s="85"/>
      <c r="D241" s="71" t="s">
        <v>66</v>
      </c>
      <c r="E241" s="67">
        <f>ROW(HideValues!K97)</f>
        <v>97</v>
      </c>
      <c r="F241" s="67">
        <f>COLUMN(HideValues!K97)</f>
        <v>11</v>
      </c>
      <c r="G241" s="231">
        <v>97</v>
      </c>
      <c r="H241" s="231">
        <v>11</v>
      </c>
      <c r="I241" s="185" t="s">
        <v>1047</v>
      </c>
      <c r="J241" s="95" t="str">
        <f ca="1">INDIRECT(ADDRESS(MATCH(I241,$I$20:$I$500,0)+19,10))</f>
        <v>Baisser d'un niveau</v>
      </c>
      <c r="K241" s="95" t="str">
        <f ca="1">INDIRECT(ADDRESS(MATCH(I241,$I$20:$I$500,0)+19,11))</f>
        <v>Bajar</v>
      </c>
      <c r="L241" s="95" t="str">
        <f ca="1">INDIRECT(ADDRESS(MATCH(I241,$I$20:$I$500,0)+19,12))</f>
        <v>Herabstufen</v>
      </c>
      <c r="M241" s="95" t="str">
        <f ca="1">INDIRECT(ADDRESS(MATCH(I241,$I$20:$I$500,0)+19,13))</f>
        <v>Rebaixar</v>
      </c>
      <c r="N241" s="95" t="str">
        <f ca="1">INDIRECT(ADDRESS(MATCH(I241,$I$20:$I$500,0)+19,14))</f>
        <v>Degraderen</v>
      </c>
      <c r="O241" s="290">
        <v>229</v>
      </c>
      <c r="P241" s="303" t="s">
        <v>1064</v>
      </c>
      <c r="Q241" s="303" t="s">
        <v>1064</v>
      </c>
      <c r="R241" s="303" t="s">
        <v>1064</v>
      </c>
      <c r="S241" s="303" t="s">
        <v>1064</v>
      </c>
    </row>
    <row r="242" spans="1:19" ht="12.75" customHeight="1">
      <c r="A242" s="110" t="s">
        <v>643</v>
      </c>
      <c r="B242" s="96" t="s">
        <v>214</v>
      </c>
      <c r="C242" s="85"/>
      <c r="D242" s="71" t="s">
        <v>66</v>
      </c>
      <c r="E242" s="67">
        <f>ROW(HideValues!K98)</f>
        <v>98</v>
      </c>
      <c r="F242" s="67">
        <f>COLUMN(HideValues!K98)</f>
        <v>11</v>
      </c>
      <c r="G242" s="231">
        <v>98</v>
      </c>
      <c r="H242" s="231">
        <v>11</v>
      </c>
      <c r="I242" s="185" t="s">
        <v>1046</v>
      </c>
      <c r="J242" s="95" t="str">
        <f ca="1">INDIRECT(ADDRESS(MATCH(I242,$I$20:$I$500,0)+19,10))</f>
        <v>Relever d'un niveau</v>
      </c>
      <c r="K242" s="95" t="str">
        <f ca="1">INDIRECT(ADDRESS(MATCH(I242,$I$20:$I$500,0)+19,11))</f>
        <v xml:space="preserve">Elevar </v>
      </c>
      <c r="L242" s="95" t="str">
        <f ca="1">INDIRECT(ADDRESS(MATCH(I242,$I$20:$I$500,0)+19,12))</f>
        <v>Werben</v>
      </c>
      <c r="M242" s="95" t="str">
        <f ca="1">INDIRECT(ADDRESS(MATCH(I242,$I$20:$I$500,0)+19,13))</f>
        <v>Promover</v>
      </c>
      <c r="N242" s="95" t="str">
        <f ca="1">INDIRECT(ADDRESS(MATCH(I242,$I$20:$I$500,0)+19,14))</f>
        <v>Promoveren</v>
      </c>
      <c r="O242" s="290">
        <v>230</v>
      </c>
      <c r="P242" s="303" t="s">
        <v>1064</v>
      </c>
      <c r="Q242" s="303" t="s">
        <v>1064</v>
      </c>
      <c r="R242" s="303" t="s">
        <v>1064</v>
      </c>
      <c r="S242" s="303" t="s">
        <v>1064</v>
      </c>
    </row>
    <row r="243" spans="1:19" ht="12.75" customHeight="1">
      <c r="A243" s="110" t="s">
        <v>643</v>
      </c>
      <c r="B243" s="96" t="s">
        <v>214</v>
      </c>
      <c r="C243" s="85"/>
      <c r="D243" s="71" t="s">
        <v>66</v>
      </c>
      <c r="E243" s="67">
        <f>ROW(HideValues!K99)</f>
        <v>99</v>
      </c>
      <c r="F243" s="67">
        <f>COLUMN(HideValues!K99)</f>
        <v>11</v>
      </c>
      <c r="G243" s="231">
        <v>99</v>
      </c>
      <c r="H243" s="231">
        <v>11</v>
      </c>
      <c r="I243" s="185" t="s">
        <v>564</v>
      </c>
      <c r="J243" s="95" t="str">
        <f ca="1">INDIRECT(ADDRESS(MATCH(I243,$I$20:$I$500,0)+19,10))</f>
        <v>Déplacer vers le haut</v>
      </c>
      <c r="K243" s="95" t="str">
        <f ca="1">INDIRECT(ADDRESS(MATCH(I243,$I$20:$I$500,0)+19,11))</f>
        <v>Mover hacia arriba</v>
      </c>
      <c r="L243" s="95" t="str">
        <f ca="1">INDIRECT(ADDRESS(MATCH(I243,$I$20:$I$500,0)+19,12))</f>
        <v>Aufwärts bewegen</v>
      </c>
      <c r="M243" s="95" t="str">
        <f ca="1">INDIRECT(ADDRESS(MATCH(I243,$I$20:$I$500,0)+19,13))</f>
        <v>Mover para cima</v>
      </c>
      <c r="N243" s="95" t="str">
        <f ca="1">INDIRECT(ADDRESS(MATCH(I243,$I$20:$I$500,0)+19,14))</f>
        <v>Omhoog verplaatsen</v>
      </c>
      <c r="O243" s="290">
        <v>231</v>
      </c>
      <c r="P243" s="303" t="s">
        <v>1064</v>
      </c>
      <c r="Q243" s="303" t="s">
        <v>1064</v>
      </c>
      <c r="R243" s="303" t="s">
        <v>1064</v>
      </c>
      <c r="S243" s="303" t="s">
        <v>1064</v>
      </c>
    </row>
    <row r="244" spans="1:19" ht="12.75" customHeight="1">
      <c r="A244" s="110" t="s">
        <v>643</v>
      </c>
      <c r="B244" s="96" t="s">
        <v>214</v>
      </c>
      <c r="C244" s="85"/>
      <c r="D244" s="71" t="s">
        <v>66</v>
      </c>
      <c r="E244" s="67">
        <f>ROW(HideValues!K100)</f>
        <v>100</v>
      </c>
      <c r="F244" s="67">
        <f>COLUMN(HideValues!K100)</f>
        <v>11</v>
      </c>
      <c r="G244" s="231">
        <v>100</v>
      </c>
      <c r="H244" s="231">
        <v>11</v>
      </c>
      <c r="I244" s="185" t="s">
        <v>565</v>
      </c>
      <c r="J244" s="95" t="str">
        <f ca="1">INDIRECT(ADDRESS(MATCH(I244,$I$20:$I$500,0)+19,10))</f>
        <v>Déplacer vers le bas</v>
      </c>
      <c r="K244" s="95" t="str">
        <f ca="1">INDIRECT(ADDRESS(MATCH(I244,$I$20:$I$500,0)+19,11))</f>
        <v>Mover hacia abajo</v>
      </c>
      <c r="L244" s="95" t="str">
        <f ca="1">INDIRECT(ADDRESS(MATCH(I244,$I$20:$I$500,0)+19,12))</f>
        <v>Abwärts bewegen</v>
      </c>
      <c r="M244" s="95" t="str">
        <f ca="1">INDIRECT(ADDRESS(MATCH(I244,$I$20:$I$500,0)+19,13))</f>
        <v>Mover para baixo</v>
      </c>
      <c r="N244" s="95" t="str">
        <f ca="1">INDIRECT(ADDRESS(MATCH(I244,$I$20:$I$500,0)+19,14))</f>
        <v>Omlaag verplaatsen</v>
      </c>
      <c r="O244" s="290">
        <v>232</v>
      </c>
      <c r="P244" s="303" t="s">
        <v>1064</v>
      </c>
      <c r="Q244" s="303" t="s">
        <v>1064</v>
      </c>
      <c r="R244" s="303" t="s">
        <v>1064</v>
      </c>
      <c r="S244" s="303" t="s">
        <v>1064</v>
      </c>
    </row>
    <row r="245" spans="1:19" ht="12.75" customHeight="1">
      <c r="A245" s="110" t="s">
        <v>643</v>
      </c>
      <c r="B245" s="96" t="s">
        <v>214</v>
      </c>
      <c r="C245" s="85"/>
      <c r="D245" s="71" t="s">
        <v>66</v>
      </c>
      <c r="E245" s="67">
        <f>ROW(HideValues!K101)</f>
        <v>101</v>
      </c>
      <c r="F245" s="67">
        <f>COLUMN(HideValues!K101)</f>
        <v>11</v>
      </c>
      <c r="G245" s="231">
        <v>101</v>
      </c>
      <c r="H245" s="231">
        <v>11</v>
      </c>
      <c r="I245" s="186" t="s">
        <v>1057</v>
      </c>
      <c r="J245" s="97" t="s">
        <v>1058</v>
      </c>
      <c r="K245" s="97" t="s">
        <v>1059</v>
      </c>
      <c r="L245" s="97" t="s">
        <v>1562</v>
      </c>
      <c r="M245" s="97" t="s">
        <v>1250</v>
      </c>
      <c r="N245" s="97" t="s">
        <v>1439</v>
      </c>
      <c r="O245" s="290">
        <v>233</v>
      </c>
      <c r="P245" s="303" t="s">
        <v>1064</v>
      </c>
      <c r="Q245" s="303" t="s">
        <v>1064</v>
      </c>
      <c r="R245" s="303" t="s">
        <v>1064</v>
      </c>
      <c r="S245" s="303" t="s">
        <v>1064</v>
      </c>
    </row>
    <row r="246" spans="1:19" ht="12.75" customHeight="1">
      <c r="A246" s="110" t="s">
        <v>643</v>
      </c>
      <c r="B246" s="96" t="s">
        <v>214</v>
      </c>
      <c r="C246" s="85"/>
      <c r="D246" s="71" t="s">
        <v>66</v>
      </c>
      <c r="E246" s="67">
        <f>ROW(HideValues!K102)</f>
        <v>102</v>
      </c>
      <c r="F246" s="67">
        <f>COLUMN(HideValues!K102)</f>
        <v>11</v>
      </c>
      <c r="G246" s="231">
        <v>102</v>
      </c>
      <c r="H246" s="231">
        <v>11</v>
      </c>
      <c r="I246" s="185" t="s">
        <v>52</v>
      </c>
      <c r="J246" s="95" t="str">
        <f t="shared" ref="J246:J252" ca="1" si="27">INDIRECT(ADDRESS(MATCH(I246,$I$20:$I$500,0)+19,10))</f>
        <v>Affichage</v>
      </c>
      <c r="K246" s="95" t="str">
        <f t="shared" ref="K246:K252" ca="1" si="28">INDIRECT(ADDRESS(MATCH(I246,$I$20:$I$500,0)+19,11))</f>
        <v>Vista</v>
      </c>
      <c r="L246" s="95" t="str">
        <f t="shared" ref="L246:L252" ca="1" si="29">INDIRECT(ADDRESS(MATCH(I246,$I$20:$I$500,0)+19,12))</f>
        <v>Ansehen</v>
      </c>
      <c r="M246" s="95" t="str">
        <f t="shared" ref="M246:M252" ca="1" si="30">INDIRECT(ADDRESS(MATCH(I246,$I$20:$I$500,0)+19,13))</f>
        <v>Visão</v>
      </c>
      <c r="N246" s="95" t="str">
        <f t="shared" ref="N246:N252" ca="1" si="31">INDIRECT(ADDRESS(MATCH(I246,$I$20:$I$500,0)+19,14))</f>
        <v>Bekijken</v>
      </c>
      <c r="O246" s="290">
        <v>234</v>
      </c>
      <c r="P246" s="303" t="s">
        <v>1064</v>
      </c>
      <c r="Q246" s="303" t="s">
        <v>1064</v>
      </c>
      <c r="R246" s="303" t="s">
        <v>1064</v>
      </c>
      <c r="S246" s="303" t="s">
        <v>1064</v>
      </c>
    </row>
    <row r="247" spans="1:19" ht="12.75" customHeight="1">
      <c r="A247" s="110" t="s">
        <v>643</v>
      </c>
      <c r="B247" s="96" t="s">
        <v>214</v>
      </c>
      <c r="C247" s="85"/>
      <c r="D247" s="71" t="s">
        <v>66</v>
      </c>
      <c r="E247" s="67">
        <f>ROW(HideValues!K103)</f>
        <v>103</v>
      </c>
      <c r="F247" s="67">
        <f>COLUMN(HideValues!K103)</f>
        <v>11</v>
      </c>
      <c r="G247" s="231">
        <v>103</v>
      </c>
      <c r="H247" s="231">
        <v>11</v>
      </c>
      <c r="I247" s="185" t="s">
        <v>470</v>
      </c>
      <c r="J247" s="95" t="str">
        <f t="shared" ca="1" si="27"/>
        <v>Quotidien</v>
      </c>
      <c r="K247" s="95" t="str">
        <f t="shared" ca="1" si="28"/>
        <v>Diario</v>
      </c>
      <c r="L247" s="95" t="str">
        <f t="shared" ca="1" si="29"/>
        <v>Täglich</v>
      </c>
      <c r="M247" s="95" t="str">
        <f t="shared" ca="1" si="30"/>
        <v>Diário</v>
      </c>
      <c r="N247" s="95" t="str">
        <f t="shared" ca="1" si="31"/>
        <v>Dagelijks</v>
      </c>
      <c r="O247" s="290">
        <v>235</v>
      </c>
      <c r="P247" s="303" t="s">
        <v>1064</v>
      </c>
      <c r="Q247" s="303" t="s">
        <v>1064</v>
      </c>
      <c r="R247" s="303" t="s">
        <v>1064</v>
      </c>
      <c r="S247" s="303" t="s">
        <v>1064</v>
      </c>
    </row>
    <row r="248" spans="1:19" ht="12.75" customHeight="1">
      <c r="A248" s="110" t="s">
        <v>643</v>
      </c>
      <c r="B248" s="96" t="s">
        <v>214</v>
      </c>
      <c r="C248" s="85"/>
      <c r="D248" s="71" t="s">
        <v>66</v>
      </c>
      <c r="E248" s="67">
        <f>ROW(HideValues!K104)</f>
        <v>104</v>
      </c>
      <c r="F248" s="67">
        <f>COLUMN(HideValues!K104)</f>
        <v>11</v>
      </c>
      <c r="G248" s="231">
        <v>104</v>
      </c>
      <c r="H248" s="231">
        <v>11</v>
      </c>
      <c r="I248" s="185" t="s">
        <v>566</v>
      </c>
      <c r="J248" s="95" t="str">
        <f t="shared" ca="1" si="27"/>
        <v>Hebdo.</v>
      </c>
      <c r="K248" s="95" t="str">
        <f t="shared" ca="1" si="28"/>
        <v>Semanal</v>
      </c>
      <c r="L248" s="95" t="str">
        <f t="shared" ca="1" si="29"/>
        <v>Wöchentlich</v>
      </c>
      <c r="M248" s="95" t="str">
        <f t="shared" ca="1" si="30"/>
        <v>Semanal</v>
      </c>
      <c r="N248" s="95" t="str">
        <f t="shared" ca="1" si="31"/>
        <v>Wekelijks</v>
      </c>
      <c r="O248" s="290">
        <v>236</v>
      </c>
      <c r="P248" s="303" t="s">
        <v>1064</v>
      </c>
      <c r="Q248" s="303" t="s">
        <v>1064</v>
      </c>
      <c r="R248" s="303" t="s">
        <v>1064</v>
      </c>
      <c r="S248" s="303" t="s">
        <v>1064</v>
      </c>
    </row>
    <row r="249" spans="1:19" ht="12.75" customHeight="1">
      <c r="A249" s="110" t="s">
        <v>643</v>
      </c>
      <c r="B249" s="96" t="s">
        <v>214</v>
      </c>
      <c r="C249" s="85"/>
      <c r="D249" s="71" t="s">
        <v>66</v>
      </c>
      <c r="E249" s="67">
        <f>ROW(HideValues!K105)</f>
        <v>105</v>
      </c>
      <c r="F249" s="67">
        <f>COLUMN(HideValues!K105)</f>
        <v>11</v>
      </c>
      <c r="G249" s="231">
        <v>105</v>
      </c>
      <c r="H249" s="231">
        <v>11</v>
      </c>
      <c r="I249" s="185" t="s">
        <v>567</v>
      </c>
      <c r="J249" s="95" t="str">
        <f t="shared" ca="1" si="27"/>
        <v>Mensuel</v>
      </c>
      <c r="K249" s="95" t="str">
        <f t="shared" ca="1" si="28"/>
        <v>Mensual</v>
      </c>
      <c r="L249" s="95" t="str">
        <f t="shared" ca="1" si="29"/>
        <v>Monatlich</v>
      </c>
      <c r="M249" s="95" t="str">
        <f t="shared" ca="1" si="30"/>
        <v>Mensal</v>
      </c>
      <c r="N249" s="95" t="str">
        <f t="shared" ca="1" si="31"/>
        <v>Maandelijks</v>
      </c>
      <c r="O249" s="290">
        <v>237</v>
      </c>
      <c r="P249" s="303" t="s">
        <v>1064</v>
      </c>
      <c r="Q249" s="303" t="s">
        <v>1064</v>
      </c>
      <c r="R249" s="303" t="s">
        <v>1064</v>
      </c>
      <c r="S249" s="303" t="s">
        <v>1064</v>
      </c>
    </row>
    <row r="250" spans="1:19" ht="12.75" customHeight="1">
      <c r="A250" s="110" t="s">
        <v>643</v>
      </c>
      <c r="B250" s="96" t="s">
        <v>214</v>
      </c>
      <c r="C250" s="85"/>
      <c r="D250" s="71" t="s">
        <v>66</v>
      </c>
      <c r="E250" s="67">
        <f>ROW(HideValues!K106)</f>
        <v>106</v>
      </c>
      <c r="F250" s="67">
        <f>COLUMN(HideValues!K106)</f>
        <v>11</v>
      </c>
      <c r="G250" s="231">
        <v>106</v>
      </c>
      <c r="H250" s="231">
        <v>11</v>
      </c>
      <c r="I250" s="185" t="s">
        <v>103</v>
      </c>
      <c r="J250" s="95" t="str">
        <f t="shared" ca="1" si="27"/>
        <v>Date de départ</v>
      </c>
      <c r="K250" s="95" t="str">
        <f t="shared" ca="1" si="28"/>
        <v>Fecha de inicio</v>
      </c>
      <c r="L250" s="95" t="str">
        <f t="shared" ca="1" si="29"/>
        <v>Anfangsdatum</v>
      </c>
      <c r="M250" s="95" t="str">
        <f t="shared" ca="1" si="30"/>
        <v>Data de Início</v>
      </c>
      <c r="N250" s="95" t="str">
        <f t="shared" ca="1" si="31"/>
        <v>Begindatum</v>
      </c>
      <c r="O250" s="290">
        <v>238</v>
      </c>
      <c r="P250" s="303" t="s">
        <v>1064</v>
      </c>
      <c r="Q250" s="303" t="s">
        <v>1064</v>
      </c>
      <c r="R250" s="303" t="s">
        <v>1064</v>
      </c>
      <c r="S250" s="303" t="s">
        <v>1064</v>
      </c>
    </row>
    <row r="251" spans="1:19" ht="12.75" customHeight="1">
      <c r="A251" s="110" t="s">
        <v>643</v>
      </c>
      <c r="B251" s="96" t="s">
        <v>214</v>
      </c>
      <c r="C251" s="85"/>
      <c r="D251" s="71" t="s">
        <v>66</v>
      </c>
      <c r="E251" s="67">
        <f>ROW(HideValues!K107)</f>
        <v>107</v>
      </c>
      <c r="F251" s="67">
        <f>COLUMN(HideValues!K107)</f>
        <v>11</v>
      </c>
      <c r="G251" s="231">
        <v>107</v>
      </c>
      <c r="H251" s="231">
        <v>11</v>
      </c>
      <c r="I251" s="185" t="s">
        <v>47</v>
      </c>
      <c r="J251" s="95" t="str">
        <f t="shared" ca="1" si="27"/>
        <v>Automatique</v>
      </c>
      <c r="K251" s="95" t="str">
        <f t="shared" ca="1" si="28"/>
        <v>Automático</v>
      </c>
      <c r="L251" s="95" t="str">
        <f t="shared" ca="1" si="29"/>
        <v xml:space="preserve">Auto </v>
      </c>
      <c r="M251" s="95" t="str">
        <f t="shared" ca="1" si="30"/>
        <v>Automático</v>
      </c>
      <c r="N251" s="95" t="str">
        <f t="shared" ca="1" si="31"/>
        <v>Auto</v>
      </c>
      <c r="O251" s="290">
        <v>239</v>
      </c>
      <c r="P251" s="303" t="s">
        <v>1064</v>
      </c>
      <c r="Q251" s="303" t="s">
        <v>1064</v>
      </c>
      <c r="R251" s="303" t="s">
        <v>1064</v>
      </c>
      <c r="S251" s="303" t="s">
        <v>1064</v>
      </c>
    </row>
    <row r="252" spans="1:19" ht="12.75" customHeight="1">
      <c r="A252" s="110" t="s">
        <v>643</v>
      </c>
      <c r="B252" s="96" t="s">
        <v>214</v>
      </c>
      <c r="C252" s="85"/>
      <c r="D252" s="71" t="s">
        <v>66</v>
      </c>
      <c r="E252" s="67">
        <f>ROW(HideValues!K108)</f>
        <v>108</v>
      </c>
      <c r="F252" s="67">
        <f>COLUMN(HideValues!K108)</f>
        <v>11</v>
      </c>
      <c r="G252" s="231">
        <v>108</v>
      </c>
      <c r="H252" s="231">
        <v>11</v>
      </c>
      <c r="I252" s="185" t="s">
        <v>5</v>
      </c>
      <c r="J252" s="95" t="str">
        <f t="shared" ca="1" si="27"/>
        <v>Aujourd'hui</v>
      </c>
      <c r="K252" s="95" t="str">
        <f t="shared" ca="1" si="28"/>
        <v>Hoy</v>
      </c>
      <c r="L252" s="95" t="str">
        <f t="shared" ca="1" si="29"/>
        <v>Heute</v>
      </c>
      <c r="M252" s="95" t="str">
        <f t="shared" ca="1" si="30"/>
        <v>Hoje</v>
      </c>
      <c r="N252" s="95" t="str">
        <f t="shared" ca="1" si="31"/>
        <v>Vandaag</v>
      </c>
      <c r="O252" s="290">
        <v>240</v>
      </c>
      <c r="P252" s="303" t="s">
        <v>1064</v>
      </c>
      <c r="Q252" s="303" t="s">
        <v>1064</v>
      </c>
      <c r="R252" s="303" t="s">
        <v>1064</v>
      </c>
      <c r="S252" s="303" t="s">
        <v>1064</v>
      </c>
    </row>
    <row r="253" spans="1:19" ht="12.75" customHeight="1">
      <c r="A253" s="110" t="s">
        <v>643</v>
      </c>
      <c r="B253" s="96" t="s">
        <v>214</v>
      </c>
      <c r="C253" s="85"/>
      <c r="D253" s="71" t="s">
        <v>66</v>
      </c>
      <c r="E253" s="67">
        <f>ROW(HideValues!K109)</f>
        <v>109</v>
      </c>
      <c r="F253" s="67">
        <f>COLUMN(HideValues!K109)</f>
        <v>11</v>
      </c>
      <c r="G253" s="231">
        <v>109</v>
      </c>
      <c r="H253" s="231">
        <v>11</v>
      </c>
      <c r="I253" s="186" t="s">
        <v>596</v>
      </c>
      <c r="J253" s="97" t="s">
        <v>596</v>
      </c>
      <c r="K253" s="297" t="s">
        <v>778</v>
      </c>
      <c r="L253" s="297" t="s">
        <v>768</v>
      </c>
      <c r="M253" s="291" t="s">
        <v>1226</v>
      </c>
      <c r="N253" s="297" t="s">
        <v>1415</v>
      </c>
      <c r="O253" s="303">
        <v>241</v>
      </c>
      <c r="P253" s="303" t="s">
        <v>1064</v>
      </c>
      <c r="Q253" s="303" t="s">
        <v>1064</v>
      </c>
      <c r="R253" s="303" t="s">
        <v>1064</v>
      </c>
      <c r="S253" s="303" t="s">
        <v>1064</v>
      </c>
    </row>
    <row r="254" spans="1:19" ht="12.75" customHeight="1">
      <c r="A254" s="110" t="s">
        <v>643</v>
      </c>
      <c r="B254" s="96" t="s">
        <v>214</v>
      </c>
      <c r="C254" s="85"/>
      <c r="D254" s="71" t="s">
        <v>66</v>
      </c>
      <c r="E254" s="67">
        <f>ROW(HideValues!K110)</f>
        <v>110</v>
      </c>
      <c r="F254" s="67">
        <f>COLUMN(HideValues!K110)</f>
        <v>11</v>
      </c>
      <c r="G254" s="231">
        <v>110</v>
      </c>
      <c r="H254" s="231">
        <v>11</v>
      </c>
      <c r="I254" s="185" t="s">
        <v>568</v>
      </c>
      <c r="J254" s="95" t="str">
        <f ca="1">INDIRECT(ADDRESS(MATCH(I254,$I$20:$I$500,0)+19,10))</f>
        <v>Jours ouvrés</v>
      </c>
      <c r="K254" s="95" t="str">
        <f ca="1">INDIRECT(ADDRESS(MATCH(I254,$I$20:$I$500,0)+19,11))</f>
        <v>Días hábiles</v>
      </c>
      <c r="L254" s="95" t="str">
        <f ca="1">INDIRECT(ADDRESS(MATCH(I254,$I$20:$I$500,0)+19,12))</f>
        <v>Arbeitstage</v>
      </c>
      <c r="M254" s="95" t="str">
        <f ca="1">INDIRECT(ADDRESS(MATCH(I254,$I$20:$I$500,0)+19,13))</f>
        <v>Dias Úteis</v>
      </c>
      <c r="N254" s="95" t="str">
        <f ca="1">INDIRECT(ADDRESS(MATCH(I254,$I$20:$I$500,0)+19,14))</f>
        <v>Werkdagen</v>
      </c>
      <c r="O254" s="290">
        <v>242</v>
      </c>
      <c r="P254" s="303" t="s">
        <v>1064</v>
      </c>
      <c r="Q254" s="303" t="s">
        <v>1064</v>
      </c>
      <c r="R254" s="303" t="s">
        <v>1064</v>
      </c>
      <c r="S254" s="303" t="s">
        <v>1064</v>
      </c>
    </row>
    <row r="255" spans="1:19" ht="12.75" customHeight="1">
      <c r="A255" s="110" t="s">
        <v>643</v>
      </c>
      <c r="B255" s="96" t="s">
        <v>214</v>
      </c>
      <c r="C255" s="85"/>
      <c r="D255" s="71" t="s">
        <v>66</v>
      </c>
      <c r="E255" s="67">
        <f>ROW(HideValues!K111)</f>
        <v>111</v>
      </c>
      <c r="F255" s="67">
        <f>COLUMN(HideValues!K111)</f>
        <v>11</v>
      </c>
      <c r="G255" s="231">
        <v>111</v>
      </c>
      <c r="H255" s="231">
        <v>11</v>
      </c>
      <c r="I255" s="185" t="s">
        <v>599</v>
      </c>
      <c r="J255" s="95" t="str">
        <f ca="1">INDIRECT(ADDRESS(MATCH(I255,$I$20:$I$500,0)+19,10))</f>
        <v>Jours ouvrés uniquement</v>
      </c>
      <c r="K255" s="95" t="str">
        <f ca="1">INDIRECT(ADDRESS(MATCH(I255,$I$20:$I$500,0)+19,11))</f>
        <v>Sólo días hábiles</v>
      </c>
      <c r="L255" s="95" t="str">
        <f ca="1">INDIRECT(ADDRESS(MATCH(I255,$I$20:$I$500,0)+19,12))</f>
        <v>Nur Arbeitstage</v>
      </c>
      <c r="M255" s="95" t="str">
        <f ca="1">INDIRECT(ADDRESS(MATCH(I255,$I$20:$I$500,0)+19,13))</f>
        <v>Dias Úteis Apenas</v>
      </c>
      <c r="N255" s="95" t="str">
        <f ca="1">INDIRECT(ADDRESS(MATCH(I255,$I$20:$I$500,0)+19,14))</f>
        <v>Alleen werkdagen</v>
      </c>
      <c r="O255" s="290">
        <v>243</v>
      </c>
      <c r="P255" s="303" t="s">
        <v>1064</v>
      </c>
      <c r="Q255" s="303" t="s">
        <v>1064</v>
      </c>
      <c r="R255" s="303" t="s">
        <v>1064</v>
      </c>
      <c r="S255" s="303" t="s">
        <v>1064</v>
      </c>
    </row>
    <row r="256" spans="1:19" ht="12.75" customHeight="1">
      <c r="A256" s="110" t="s">
        <v>643</v>
      </c>
      <c r="B256" s="96" t="s">
        <v>214</v>
      </c>
      <c r="C256" s="85"/>
      <c r="D256" s="71" t="s">
        <v>66</v>
      </c>
      <c r="E256" s="67">
        <f>ROW(HideValues!K112)</f>
        <v>112</v>
      </c>
      <c r="F256" s="67">
        <f>COLUMN(HideValues!K112)</f>
        <v>11</v>
      </c>
      <c r="G256" s="231">
        <v>112</v>
      </c>
      <c r="H256" s="231">
        <v>11</v>
      </c>
      <c r="I256" s="185" t="s">
        <v>648</v>
      </c>
      <c r="J256" s="95" t="str">
        <f ca="1">INDIRECT(ADDRESS(MATCH(I256,$I$20:$I$500,0)+19,10))</f>
        <v>Weekend travaillé</v>
      </c>
      <c r="K256" s="95" t="str">
        <f ca="1">INDIRECT(ADDRESS(MATCH(I256,$I$20:$I$500,0)+19,11))</f>
        <v>todos los días</v>
      </c>
      <c r="L256" s="95" t="str">
        <f ca="1">INDIRECT(ADDRESS(MATCH(I256,$I$20:$I$500,0)+19,12))</f>
        <v>Alle Arbeitstage</v>
      </c>
      <c r="M256" s="95" t="str">
        <f ca="1">INDIRECT(ADDRESS(MATCH(I256,$I$20:$I$500,0)+19,13))</f>
        <v>Todos os dias trabalhados</v>
      </c>
      <c r="N256" s="95" t="str">
        <f ca="1">INDIRECT(ADDRESS(MATCH(I256,$I$20:$I$500,0)+19,14))</f>
        <v>Alle dagen gewerkt</v>
      </c>
      <c r="O256" s="290">
        <v>244</v>
      </c>
      <c r="P256" s="303" t="s">
        <v>1064</v>
      </c>
      <c r="Q256" s="303" t="s">
        <v>1064</v>
      </c>
      <c r="R256" s="303" t="s">
        <v>1064</v>
      </c>
      <c r="S256" s="303" t="s">
        <v>1064</v>
      </c>
    </row>
    <row r="257" spans="1:19" ht="12.75" customHeight="1">
      <c r="A257" s="110" t="s">
        <v>643</v>
      </c>
      <c r="B257" s="96" t="s">
        <v>214</v>
      </c>
      <c r="C257" s="85"/>
      <c r="D257" s="71" t="s">
        <v>66</v>
      </c>
      <c r="E257" s="67">
        <f>ROW(HideValues!K113)</f>
        <v>113</v>
      </c>
      <c r="F257" s="67">
        <f>COLUMN(HideValues!K113)</f>
        <v>11</v>
      </c>
      <c r="G257" s="231">
        <v>113</v>
      </c>
      <c r="H257" s="231">
        <v>11</v>
      </c>
      <c r="I257" s="185" t="s">
        <v>48</v>
      </c>
      <c r="J257" s="95" t="str">
        <f ca="1">INDIRECT(ADDRESS(MATCH(I257,$I$20:$I$500,0)+19,10))</f>
        <v>Préfixe des semaines</v>
      </c>
      <c r="K257" s="95" t="str">
        <f ca="1">INDIRECT(ADDRESS(MATCH(I257,$I$20:$I$500,0)+19,11))</f>
        <v>Símbolo de semana</v>
      </c>
      <c r="L257" s="95" t="str">
        <f ca="1">INDIRECT(ADDRESS(MATCH(I257,$I$20:$I$500,0)+19,12))</f>
        <v>Woche Symbol</v>
      </c>
      <c r="M257" s="95" t="str">
        <f ca="1">INDIRECT(ADDRESS(MATCH(I257,$I$20:$I$500,0)+19,13))</f>
        <v>Símbolo da semana</v>
      </c>
      <c r="N257" s="95" t="str">
        <f ca="1">INDIRECT(ADDRESS(MATCH(I257,$I$20:$I$500,0)+19,14))</f>
        <v>Weeksymbool</v>
      </c>
      <c r="O257" s="290">
        <v>245</v>
      </c>
      <c r="P257" s="303" t="s">
        <v>1064</v>
      </c>
      <c r="Q257" s="303" t="s">
        <v>1064</v>
      </c>
      <c r="R257" s="303" t="s">
        <v>1064</v>
      </c>
      <c r="S257" s="303" t="s">
        <v>1064</v>
      </c>
    </row>
    <row r="258" spans="1:19" ht="12.75" customHeight="1">
      <c r="A258" s="110" t="s">
        <v>643</v>
      </c>
      <c r="B258" s="96" t="s">
        <v>214</v>
      </c>
      <c r="C258" s="85"/>
      <c r="D258" s="71" t="s">
        <v>66</v>
      </c>
      <c r="E258" s="67">
        <f>ROW(HideValues!K114)</f>
        <v>114</v>
      </c>
      <c r="F258" s="67">
        <f>COLUMN(HideValues!K114)</f>
        <v>11</v>
      </c>
      <c r="G258" s="231">
        <v>114</v>
      </c>
      <c r="H258" s="231">
        <v>11</v>
      </c>
      <c r="I258" s="186" t="s">
        <v>649</v>
      </c>
      <c r="J258" s="97" t="s">
        <v>650</v>
      </c>
      <c r="K258" s="292" t="s">
        <v>651</v>
      </c>
      <c r="L258" s="293" t="s">
        <v>1543</v>
      </c>
      <c r="M258" s="291" t="s">
        <v>1227</v>
      </c>
      <c r="N258" s="292" t="s">
        <v>1416</v>
      </c>
      <c r="O258" s="303">
        <v>246</v>
      </c>
      <c r="P258" s="303" t="s">
        <v>1064</v>
      </c>
      <c r="Q258" s="303" t="s">
        <v>1064</v>
      </c>
      <c r="R258" s="303" t="s">
        <v>1064</v>
      </c>
      <c r="S258" s="303" t="s">
        <v>1064</v>
      </c>
    </row>
    <row r="259" spans="1:19" ht="12.75" customHeight="1">
      <c r="A259" s="110" t="s">
        <v>643</v>
      </c>
      <c r="B259" s="96" t="s">
        <v>214</v>
      </c>
      <c r="C259" s="85"/>
      <c r="D259" s="71" t="s">
        <v>66</v>
      </c>
      <c r="E259" s="67">
        <f>ROW(HideValues!K115)</f>
        <v>115</v>
      </c>
      <c r="F259" s="67">
        <f>COLUMN(HideValues!K115)</f>
        <v>11</v>
      </c>
      <c r="G259" s="231">
        <v>115</v>
      </c>
      <c r="H259" s="231">
        <v>11</v>
      </c>
      <c r="I259" s="185" t="s">
        <v>148</v>
      </c>
      <c r="J259" s="95" t="str">
        <f t="shared" ref="J259:J272" ca="1" si="32">INDIRECT(ADDRESS(MATCH(I259,$I$20:$I$500,0)+19,10))</f>
        <v>Samedi, dimanche</v>
      </c>
      <c r="K259" s="95" t="str">
        <f t="shared" ref="K259:K272" ca="1" si="33">INDIRECT(ADDRESS(MATCH(I259,$I$20:$I$500,0)+19,11))</f>
        <v>Sábado, Domingo</v>
      </c>
      <c r="L259" s="95" t="str">
        <f t="shared" ref="L259:L272" ca="1" si="34">INDIRECT(ADDRESS(MATCH(I259,$I$20:$I$500,0)+19,12))</f>
        <v>Samstag, Sonntag</v>
      </c>
      <c r="M259" s="95" t="str">
        <f t="shared" ref="M259:M272" ca="1" si="35">INDIRECT(ADDRESS(MATCH(I259,$I$20:$I$500,0)+19,13))</f>
        <v>Sábado, Domingo</v>
      </c>
      <c r="N259" s="95" t="str">
        <f t="shared" ref="N259:N272" ca="1" si="36">INDIRECT(ADDRESS(MATCH(I259,$I$20:$I$500,0)+19,14))</f>
        <v>Zaterdag, Zondag</v>
      </c>
      <c r="O259" s="290">
        <v>247</v>
      </c>
      <c r="P259" s="303" t="s">
        <v>1064</v>
      </c>
      <c r="Q259" s="303" t="s">
        <v>1064</v>
      </c>
      <c r="R259" s="303" t="s">
        <v>1064</v>
      </c>
      <c r="S259" s="303" t="s">
        <v>1064</v>
      </c>
    </row>
    <row r="260" spans="1:19" ht="12.75" customHeight="1">
      <c r="A260" s="110" t="s">
        <v>643</v>
      </c>
      <c r="B260" s="96" t="s">
        <v>214</v>
      </c>
      <c r="C260" s="85"/>
      <c r="D260" s="71" t="s">
        <v>66</v>
      </c>
      <c r="E260" s="67">
        <f>ROW(HideValues!K116)</f>
        <v>116</v>
      </c>
      <c r="F260" s="67">
        <f>COLUMN(HideValues!K116)</f>
        <v>11</v>
      </c>
      <c r="G260" s="231">
        <v>116</v>
      </c>
      <c r="H260" s="231">
        <v>11</v>
      </c>
      <c r="I260" s="185" t="s">
        <v>149</v>
      </c>
      <c r="J260" s="95" t="str">
        <f t="shared" ca="1" si="32"/>
        <v>Dimanche, lundi</v>
      </c>
      <c r="K260" s="95" t="str">
        <f t="shared" ca="1" si="33"/>
        <v>Domingo, Lunes</v>
      </c>
      <c r="L260" s="95" t="str">
        <f t="shared" ca="1" si="34"/>
        <v>Sonntag, Montag</v>
      </c>
      <c r="M260" s="95" t="str">
        <f t="shared" ca="1" si="35"/>
        <v>Domingo, Segunda-feira</v>
      </c>
      <c r="N260" s="95" t="str">
        <f t="shared" ca="1" si="36"/>
        <v>Zondag, Maandag</v>
      </c>
      <c r="O260" s="290">
        <v>248</v>
      </c>
      <c r="P260" s="303" t="s">
        <v>1064</v>
      </c>
      <c r="Q260" s="303" t="s">
        <v>1064</v>
      </c>
      <c r="R260" s="303" t="s">
        <v>1064</v>
      </c>
      <c r="S260" s="303" t="s">
        <v>1064</v>
      </c>
    </row>
    <row r="261" spans="1:19" ht="12.75" customHeight="1">
      <c r="A261" s="110" t="s">
        <v>643</v>
      </c>
      <c r="B261" s="96" t="s">
        <v>214</v>
      </c>
      <c r="C261" s="85"/>
      <c r="D261" s="71" t="s">
        <v>66</v>
      </c>
      <c r="E261" s="67">
        <f>ROW(HideValues!K117)</f>
        <v>117</v>
      </c>
      <c r="F261" s="67">
        <f>COLUMN(HideValues!K117)</f>
        <v>11</v>
      </c>
      <c r="G261" s="231">
        <v>117</v>
      </c>
      <c r="H261" s="231">
        <v>11</v>
      </c>
      <c r="I261" s="185" t="s">
        <v>150</v>
      </c>
      <c r="J261" s="95" t="str">
        <f t="shared" ca="1" si="32"/>
        <v>Lundi, mardi</v>
      </c>
      <c r="K261" s="95" t="str">
        <f t="shared" ca="1" si="33"/>
        <v>Lunes, Martes</v>
      </c>
      <c r="L261" s="95" t="str">
        <f t="shared" ca="1" si="34"/>
        <v>Montag, Dienstag</v>
      </c>
      <c r="M261" s="95" t="str">
        <f t="shared" ca="1" si="35"/>
        <v>Segunda-feira, Terça-feira</v>
      </c>
      <c r="N261" s="95" t="str">
        <f t="shared" ca="1" si="36"/>
        <v>Maandag, Dinsdag</v>
      </c>
      <c r="O261" s="290">
        <v>249</v>
      </c>
      <c r="P261" s="303" t="s">
        <v>1064</v>
      </c>
      <c r="Q261" s="303" t="s">
        <v>1064</v>
      </c>
      <c r="R261" s="303" t="s">
        <v>1064</v>
      </c>
      <c r="S261" s="303" t="s">
        <v>1064</v>
      </c>
    </row>
    <row r="262" spans="1:19" ht="12.75" customHeight="1">
      <c r="A262" s="110" t="s">
        <v>643</v>
      </c>
      <c r="B262" s="96" t="s">
        <v>214</v>
      </c>
      <c r="C262" s="85"/>
      <c r="D262" s="71" t="s">
        <v>66</v>
      </c>
      <c r="E262" s="67">
        <f>ROW(HideValues!K118)</f>
        <v>118</v>
      </c>
      <c r="F262" s="67">
        <f>COLUMN(HideValues!K118)</f>
        <v>11</v>
      </c>
      <c r="G262" s="231">
        <v>118</v>
      </c>
      <c r="H262" s="231">
        <v>11</v>
      </c>
      <c r="I262" s="185" t="s">
        <v>151</v>
      </c>
      <c r="J262" s="95" t="str">
        <f t="shared" ca="1" si="32"/>
        <v>Mardi, mercredi</v>
      </c>
      <c r="K262" s="95" t="str">
        <f t="shared" ca="1" si="33"/>
        <v>Martes, Miércoles</v>
      </c>
      <c r="L262" s="95" t="str">
        <f t="shared" ca="1" si="34"/>
        <v>Dienstag, Mittwoch</v>
      </c>
      <c r="M262" s="95" t="str">
        <f t="shared" ca="1" si="35"/>
        <v>Terça-feira, Quarta-feira</v>
      </c>
      <c r="N262" s="95" t="str">
        <f t="shared" ca="1" si="36"/>
        <v>Dinsdag, Woensdag</v>
      </c>
      <c r="O262" s="290">
        <v>250</v>
      </c>
      <c r="P262" s="303" t="s">
        <v>1064</v>
      </c>
      <c r="Q262" s="303" t="s">
        <v>1064</v>
      </c>
      <c r="R262" s="303" t="s">
        <v>1064</v>
      </c>
      <c r="S262" s="303" t="s">
        <v>1064</v>
      </c>
    </row>
    <row r="263" spans="1:19" ht="12.75" customHeight="1">
      <c r="A263" s="110" t="s">
        <v>643</v>
      </c>
      <c r="B263" s="96" t="s">
        <v>214</v>
      </c>
      <c r="C263" s="85"/>
      <c r="D263" s="71" t="s">
        <v>66</v>
      </c>
      <c r="E263" s="67">
        <f>ROW(HideValues!K119)</f>
        <v>119</v>
      </c>
      <c r="F263" s="67">
        <f>COLUMN(HideValues!K119)</f>
        <v>11</v>
      </c>
      <c r="G263" s="231">
        <v>119</v>
      </c>
      <c r="H263" s="231">
        <v>11</v>
      </c>
      <c r="I263" s="185" t="s">
        <v>152</v>
      </c>
      <c r="J263" s="95" t="str">
        <f t="shared" ca="1" si="32"/>
        <v>Mercredi, jeudi</v>
      </c>
      <c r="K263" s="95" t="str">
        <f t="shared" ca="1" si="33"/>
        <v>Miércoles, Jueves</v>
      </c>
      <c r="L263" s="95" t="str">
        <f t="shared" ca="1" si="34"/>
        <v>Mittwoch, Donnerstag</v>
      </c>
      <c r="M263" s="95" t="str">
        <f t="shared" ca="1" si="35"/>
        <v>Quarta-feira, Quinta-feira</v>
      </c>
      <c r="N263" s="95" t="str">
        <f t="shared" ca="1" si="36"/>
        <v>Woensdag, Donderdag</v>
      </c>
      <c r="O263" s="290">
        <v>251</v>
      </c>
      <c r="P263" s="303" t="s">
        <v>1064</v>
      </c>
      <c r="Q263" s="303" t="s">
        <v>1064</v>
      </c>
      <c r="R263" s="303" t="s">
        <v>1064</v>
      </c>
      <c r="S263" s="303" t="s">
        <v>1064</v>
      </c>
    </row>
    <row r="264" spans="1:19" ht="12.75" customHeight="1">
      <c r="A264" s="110" t="s">
        <v>643</v>
      </c>
      <c r="B264" s="96" t="s">
        <v>214</v>
      </c>
      <c r="C264" s="85"/>
      <c r="D264" s="71" t="s">
        <v>66</v>
      </c>
      <c r="E264" s="67">
        <f>ROW(HideValues!K120)</f>
        <v>120</v>
      </c>
      <c r="F264" s="67">
        <f>COLUMN(HideValues!K120)</f>
        <v>11</v>
      </c>
      <c r="G264" s="231">
        <v>120</v>
      </c>
      <c r="H264" s="231">
        <v>11</v>
      </c>
      <c r="I264" s="185" t="s">
        <v>153</v>
      </c>
      <c r="J264" s="95" t="str">
        <f t="shared" ca="1" si="32"/>
        <v>Jeudi, vendredi</v>
      </c>
      <c r="K264" s="95" t="str">
        <f t="shared" ca="1" si="33"/>
        <v>Jueves, Viernes</v>
      </c>
      <c r="L264" s="95" t="str">
        <f t="shared" ca="1" si="34"/>
        <v>Donnerstag, Freitag</v>
      </c>
      <c r="M264" s="95" t="str">
        <f t="shared" ca="1" si="35"/>
        <v>Quinta-feira, Sexta-feira</v>
      </c>
      <c r="N264" s="95" t="str">
        <f t="shared" ca="1" si="36"/>
        <v>Donderdag, Vrijdag</v>
      </c>
      <c r="O264" s="290">
        <v>252</v>
      </c>
      <c r="P264" s="303" t="s">
        <v>1064</v>
      </c>
      <c r="Q264" s="303" t="s">
        <v>1064</v>
      </c>
      <c r="R264" s="303" t="s">
        <v>1064</v>
      </c>
      <c r="S264" s="303" t="s">
        <v>1064</v>
      </c>
    </row>
    <row r="265" spans="1:19" ht="12.75" customHeight="1">
      <c r="A265" s="110" t="s">
        <v>643</v>
      </c>
      <c r="B265" s="96" t="s">
        <v>214</v>
      </c>
      <c r="C265" s="85"/>
      <c r="D265" s="71" t="s">
        <v>66</v>
      </c>
      <c r="E265" s="67">
        <f>ROW(HideValues!K121)</f>
        <v>121</v>
      </c>
      <c r="F265" s="67">
        <f>COLUMN(HideValues!K121)</f>
        <v>11</v>
      </c>
      <c r="G265" s="231">
        <v>121</v>
      </c>
      <c r="H265" s="231">
        <v>11</v>
      </c>
      <c r="I265" s="185" t="s">
        <v>154</v>
      </c>
      <c r="J265" s="95" t="str">
        <f t="shared" ca="1" si="32"/>
        <v>Vendredi, samedi</v>
      </c>
      <c r="K265" s="95" t="str">
        <f t="shared" ca="1" si="33"/>
        <v>Viernes, Sábado</v>
      </c>
      <c r="L265" s="95" t="str">
        <f t="shared" ca="1" si="34"/>
        <v>Freitag, Samstag</v>
      </c>
      <c r="M265" s="95" t="str">
        <f t="shared" ca="1" si="35"/>
        <v>Sexta-feira, Sabado</v>
      </c>
      <c r="N265" s="95" t="str">
        <f t="shared" ca="1" si="36"/>
        <v>Vrijdag, Zaterdag</v>
      </c>
      <c r="O265" s="290">
        <v>253</v>
      </c>
      <c r="P265" s="303" t="s">
        <v>1064</v>
      </c>
      <c r="Q265" s="303" t="s">
        <v>1064</v>
      </c>
      <c r="R265" s="303" t="s">
        <v>1064</v>
      </c>
      <c r="S265" s="303" t="s">
        <v>1064</v>
      </c>
    </row>
    <row r="266" spans="1:19" ht="12.75" customHeight="1">
      <c r="A266" s="110" t="s">
        <v>643</v>
      </c>
      <c r="B266" s="96" t="s">
        <v>214</v>
      </c>
      <c r="C266" s="85"/>
      <c r="D266" s="71" t="s">
        <v>66</v>
      </c>
      <c r="E266" s="67">
        <f>ROW(HideValues!K122)</f>
        <v>122</v>
      </c>
      <c r="F266" s="67">
        <f>COLUMN(HideValues!K122)</f>
        <v>11</v>
      </c>
      <c r="G266" s="231">
        <v>122</v>
      </c>
      <c r="H266" s="231">
        <v>11</v>
      </c>
      <c r="I266" s="185" t="s">
        <v>141</v>
      </c>
      <c r="J266" s="95" t="str">
        <f t="shared" ca="1" si="32"/>
        <v>Dimanche uniquement</v>
      </c>
      <c r="K266" s="95" t="str">
        <f t="shared" ca="1" si="33"/>
        <v>Sólo el Domingo</v>
      </c>
      <c r="L266" s="95" t="str">
        <f t="shared" ca="1" si="34"/>
        <v>Nur Sonntag</v>
      </c>
      <c r="M266" s="95" t="str">
        <f t="shared" ca="1" si="35"/>
        <v>Apenas domingo</v>
      </c>
      <c r="N266" s="95" t="str">
        <f t="shared" ca="1" si="36"/>
        <v>Alleen zondag</v>
      </c>
      <c r="O266" s="290">
        <v>254</v>
      </c>
      <c r="P266" s="303" t="s">
        <v>1064</v>
      </c>
      <c r="Q266" s="303" t="s">
        <v>1064</v>
      </c>
      <c r="R266" s="303" t="s">
        <v>1064</v>
      </c>
      <c r="S266" s="303" t="s">
        <v>1064</v>
      </c>
    </row>
    <row r="267" spans="1:19" ht="12.75" customHeight="1">
      <c r="A267" s="110" t="s">
        <v>643</v>
      </c>
      <c r="B267" s="96" t="s">
        <v>214</v>
      </c>
      <c r="C267" s="85"/>
      <c r="D267" s="71" t="s">
        <v>66</v>
      </c>
      <c r="E267" s="67">
        <f>ROW(HideValues!K123)</f>
        <v>123</v>
      </c>
      <c r="F267" s="67">
        <f>COLUMN(HideValues!K123)</f>
        <v>11</v>
      </c>
      <c r="G267" s="231">
        <v>123</v>
      </c>
      <c r="H267" s="231">
        <v>11</v>
      </c>
      <c r="I267" s="185" t="s">
        <v>142</v>
      </c>
      <c r="J267" s="95" t="str">
        <f t="shared" ca="1" si="32"/>
        <v>Lundi uniquement</v>
      </c>
      <c r="K267" s="95" t="str">
        <f t="shared" ca="1" si="33"/>
        <v>sólo de Lunes</v>
      </c>
      <c r="L267" s="95" t="str">
        <f t="shared" ca="1" si="34"/>
        <v>Nur Montag</v>
      </c>
      <c r="M267" s="95" t="str">
        <f t="shared" ca="1" si="35"/>
        <v>Apenas segunda-feira</v>
      </c>
      <c r="N267" s="95" t="str">
        <f t="shared" ca="1" si="36"/>
        <v>Alleen maandag</v>
      </c>
      <c r="O267" s="290">
        <v>255</v>
      </c>
      <c r="P267" s="303" t="s">
        <v>1064</v>
      </c>
      <c r="Q267" s="303" t="s">
        <v>1064</v>
      </c>
      <c r="R267" s="303" t="s">
        <v>1064</v>
      </c>
      <c r="S267" s="303" t="s">
        <v>1064</v>
      </c>
    </row>
    <row r="268" spans="1:19" ht="12.75" customHeight="1">
      <c r="A268" s="110" t="s">
        <v>643</v>
      </c>
      <c r="B268" s="96" t="s">
        <v>214</v>
      </c>
      <c r="C268" s="85"/>
      <c r="D268" s="71" t="s">
        <v>66</v>
      </c>
      <c r="E268" s="67">
        <f>ROW(HideValues!K124)</f>
        <v>124</v>
      </c>
      <c r="F268" s="67">
        <f>COLUMN(HideValues!K124)</f>
        <v>11</v>
      </c>
      <c r="G268" s="231">
        <v>124</v>
      </c>
      <c r="H268" s="231">
        <v>11</v>
      </c>
      <c r="I268" s="185" t="s">
        <v>143</v>
      </c>
      <c r="J268" s="95" t="str">
        <f t="shared" ca="1" si="32"/>
        <v>Mardi uniquement</v>
      </c>
      <c r="K268" s="95" t="str">
        <f t="shared" ca="1" si="33"/>
        <v>Sólo el Martes</v>
      </c>
      <c r="L268" s="95" t="str">
        <f t="shared" ca="1" si="34"/>
        <v>Nur Dienstag</v>
      </c>
      <c r="M268" s="95" t="str">
        <f t="shared" ca="1" si="35"/>
        <v>Apenas terça-feira</v>
      </c>
      <c r="N268" s="95" t="str">
        <f t="shared" ca="1" si="36"/>
        <v>Alleen dinsdag</v>
      </c>
      <c r="O268" s="290">
        <v>256</v>
      </c>
      <c r="P268" s="303" t="s">
        <v>1064</v>
      </c>
      <c r="Q268" s="303" t="s">
        <v>1064</v>
      </c>
      <c r="R268" s="303" t="s">
        <v>1064</v>
      </c>
      <c r="S268" s="303" t="s">
        <v>1064</v>
      </c>
    </row>
    <row r="269" spans="1:19" ht="12.75" customHeight="1">
      <c r="A269" s="110" t="s">
        <v>643</v>
      </c>
      <c r="B269" s="96" t="s">
        <v>214</v>
      </c>
      <c r="C269" s="85"/>
      <c r="D269" s="71" t="s">
        <v>66</v>
      </c>
      <c r="E269" s="67">
        <f>ROW(HideValues!K125)</f>
        <v>125</v>
      </c>
      <c r="F269" s="67">
        <f>COLUMN(HideValues!K125)</f>
        <v>11</v>
      </c>
      <c r="G269" s="231">
        <v>125</v>
      </c>
      <c r="H269" s="231">
        <v>11</v>
      </c>
      <c r="I269" s="185" t="s">
        <v>144</v>
      </c>
      <c r="J269" s="95" t="str">
        <f t="shared" ca="1" si="32"/>
        <v>Mercredi uniquement</v>
      </c>
      <c r="K269" s="95" t="str">
        <f t="shared" ca="1" si="33"/>
        <v>Sólo el Miércoles</v>
      </c>
      <c r="L269" s="95" t="str">
        <f t="shared" ca="1" si="34"/>
        <v>Nur Mittwoch</v>
      </c>
      <c r="M269" s="95" t="str">
        <f t="shared" ca="1" si="35"/>
        <v>Apenas quarta-feira</v>
      </c>
      <c r="N269" s="95" t="str">
        <f t="shared" ca="1" si="36"/>
        <v>Alleen woensdag</v>
      </c>
      <c r="O269" s="290">
        <v>257</v>
      </c>
      <c r="P269" s="303" t="s">
        <v>1064</v>
      </c>
      <c r="Q269" s="303" t="s">
        <v>1064</v>
      </c>
      <c r="R269" s="303" t="s">
        <v>1064</v>
      </c>
      <c r="S269" s="303" t="s">
        <v>1064</v>
      </c>
    </row>
    <row r="270" spans="1:19" ht="12.75" customHeight="1">
      <c r="A270" s="110" t="s">
        <v>643</v>
      </c>
      <c r="B270" s="96" t="s">
        <v>214</v>
      </c>
      <c r="C270" s="85"/>
      <c r="D270" s="71" t="s">
        <v>66</v>
      </c>
      <c r="E270" s="67">
        <f>ROW(HideValues!K126)</f>
        <v>126</v>
      </c>
      <c r="F270" s="67">
        <f>COLUMN(HideValues!K126)</f>
        <v>11</v>
      </c>
      <c r="G270" s="231">
        <v>126</v>
      </c>
      <c r="H270" s="231">
        <v>11</v>
      </c>
      <c r="I270" s="185" t="s">
        <v>145</v>
      </c>
      <c r="J270" s="95" t="str">
        <f t="shared" ca="1" si="32"/>
        <v>Jeudi uniquement</v>
      </c>
      <c r="K270" s="95" t="str">
        <f t="shared" ca="1" si="33"/>
        <v>Sólo el Jueves</v>
      </c>
      <c r="L270" s="95" t="str">
        <f t="shared" ca="1" si="34"/>
        <v>Nur Donnerstag</v>
      </c>
      <c r="M270" s="95" t="str">
        <f t="shared" ca="1" si="35"/>
        <v>Apenas quinta-feira</v>
      </c>
      <c r="N270" s="95" t="str">
        <f t="shared" ca="1" si="36"/>
        <v>Alleen donderdag</v>
      </c>
      <c r="O270" s="290">
        <v>258</v>
      </c>
      <c r="P270" s="303" t="s">
        <v>1064</v>
      </c>
      <c r="Q270" s="303" t="s">
        <v>1064</v>
      </c>
      <c r="R270" s="303" t="s">
        <v>1064</v>
      </c>
      <c r="S270" s="303" t="s">
        <v>1064</v>
      </c>
    </row>
    <row r="271" spans="1:19" ht="12.75" customHeight="1">
      <c r="A271" s="110" t="s">
        <v>643</v>
      </c>
      <c r="B271" s="96" t="s">
        <v>214</v>
      </c>
      <c r="C271" s="85"/>
      <c r="D271" s="71" t="s">
        <v>66</v>
      </c>
      <c r="E271" s="67">
        <f>ROW(HideValues!K127)</f>
        <v>127</v>
      </c>
      <c r="F271" s="67">
        <f>COLUMN(HideValues!K127)</f>
        <v>11</v>
      </c>
      <c r="G271" s="231">
        <v>127</v>
      </c>
      <c r="H271" s="231">
        <v>11</v>
      </c>
      <c r="I271" s="185" t="s">
        <v>146</v>
      </c>
      <c r="J271" s="95" t="str">
        <f t="shared" ca="1" si="32"/>
        <v>Vendredi uniquement</v>
      </c>
      <c r="K271" s="95" t="str">
        <f t="shared" ca="1" si="33"/>
        <v>Sólo el Viernes</v>
      </c>
      <c r="L271" s="95" t="str">
        <f t="shared" ca="1" si="34"/>
        <v>Nur Freitag</v>
      </c>
      <c r="M271" s="95" t="str">
        <f t="shared" ca="1" si="35"/>
        <v>Apenas sexta-feira</v>
      </c>
      <c r="N271" s="95" t="str">
        <f t="shared" ca="1" si="36"/>
        <v>Alleen vrijdag</v>
      </c>
      <c r="O271" s="290">
        <v>259</v>
      </c>
      <c r="P271" s="303" t="s">
        <v>1064</v>
      </c>
      <c r="Q271" s="303" t="s">
        <v>1064</v>
      </c>
      <c r="R271" s="303" t="s">
        <v>1064</v>
      </c>
      <c r="S271" s="303" t="s">
        <v>1064</v>
      </c>
    </row>
    <row r="272" spans="1:19" ht="12.75" customHeight="1">
      <c r="A272" s="110" t="s">
        <v>643</v>
      </c>
      <c r="B272" s="96" t="s">
        <v>214</v>
      </c>
      <c r="C272" s="85"/>
      <c r="D272" s="71" t="s">
        <v>66</v>
      </c>
      <c r="E272" s="67">
        <f>ROW(HideValues!K128)</f>
        <v>128</v>
      </c>
      <c r="F272" s="67">
        <f>COLUMN(HideValues!K128)</f>
        <v>11</v>
      </c>
      <c r="G272" s="231">
        <v>128</v>
      </c>
      <c r="H272" s="231">
        <v>11</v>
      </c>
      <c r="I272" s="185" t="s">
        <v>147</v>
      </c>
      <c r="J272" s="95" t="str">
        <f t="shared" ca="1" si="32"/>
        <v>Samedi uniquement</v>
      </c>
      <c r="K272" s="95" t="str">
        <f t="shared" ca="1" si="33"/>
        <v>Sólo el Sábado</v>
      </c>
      <c r="L272" s="95" t="str">
        <f t="shared" ca="1" si="34"/>
        <v>Nur Samstag</v>
      </c>
      <c r="M272" s="95" t="str">
        <f t="shared" ca="1" si="35"/>
        <v>Apenas sábado</v>
      </c>
      <c r="N272" s="95" t="str">
        <f t="shared" ca="1" si="36"/>
        <v>Alleen zaterdag</v>
      </c>
      <c r="O272" s="290">
        <v>260</v>
      </c>
      <c r="P272" s="303" t="s">
        <v>1064</v>
      </c>
      <c r="Q272" s="303" t="s">
        <v>1064</v>
      </c>
      <c r="R272" s="303" t="s">
        <v>1064</v>
      </c>
      <c r="S272" s="303" t="s">
        <v>1064</v>
      </c>
    </row>
    <row r="273" spans="1:19" ht="12.75" customHeight="1">
      <c r="A273" s="110" t="s">
        <v>643</v>
      </c>
      <c r="B273" s="96" t="s">
        <v>214</v>
      </c>
      <c r="C273" s="85"/>
      <c r="D273" s="71" t="s">
        <v>66</v>
      </c>
      <c r="E273" s="67">
        <f>ROW(HideValues!K129)</f>
        <v>129</v>
      </c>
      <c r="F273" s="67">
        <f>COLUMN(HideValues!K129)</f>
        <v>11</v>
      </c>
      <c r="G273" s="231">
        <v>129</v>
      </c>
      <c r="H273" s="231">
        <v>11</v>
      </c>
      <c r="I273" s="186" t="s">
        <v>644</v>
      </c>
      <c r="J273" s="97" t="s">
        <v>645</v>
      </c>
      <c r="K273" s="292" t="s">
        <v>646</v>
      </c>
      <c r="L273" s="292" t="s">
        <v>647</v>
      </c>
      <c r="M273" s="291" t="s">
        <v>1228</v>
      </c>
      <c r="N273" s="292" t="s">
        <v>1417</v>
      </c>
      <c r="O273" s="303">
        <v>261</v>
      </c>
      <c r="P273" s="303" t="s">
        <v>1064</v>
      </c>
      <c r="Q273" s="303" t="s">
        <v>1064</v>
      </c>
      <c r="R273" s="303" t="s">
        <v>1064</v>
      </c>
      <c r="S273" s="303" t="s">
        <v>1064</v>
      </c>
    </row>
    <row r="274" spans="1:19" ht="12.75" customHeight="1">
      <c r="A274" s="110" t="s">
        <v>643</v>
      </c>
      <c r="B274" s="96" t="s">
        <v>214</v>
      </c>
      <c r="C274" s="85"/>
      <c r="D274" s="71" t="s">
        <v>66</v>
      </c>
      <c r="E274" s="67">
        <f>ROW(HideValues!K130)</f>
        <v>130</v>
      </c>
      <c r="F274" s="67">
        <f>COLUMN(HideValues!K130)</f>
        <v>11</v>
      </c>
      <c r="G274" s="231">
        <v>130</v>
      </c>
      <c r="H274" s="231">
        <v>11</v>
      </c>
      <c r="I274" s="185" t="s">
        <v>327</v>
      </c>
      <c r="J274" s="95" t="str">
        <f t="shared" ref="J274:J284" ca="1" si="37">INDIRECT(ADDRESS(MATCH(I274,$I$20:$I$500,0)+19,10))</f>
        <v>Lundi (ISO 8601)</v>
      </c>
      <c r="K274" s="95" t="str">
        <f t="shared" ref="K274:K284" ca="1" si="38">INDIRECT(ADDRESS(MATCH(I274,$I$20:$I$500,0)+19,11))</f>
        <v>Lunes (ISO 8601)</v>
      </c>
      <c r="L274" s="95" t="str">
        <f t="shared" ref="L274:L284" ca="1" si="39">INDIRECT(ADDRESS(MATCH(I274,$I$20:$I$500,0)+19,12))</f>
        <v>Montag (ISO 8601)</v>
      </c>
      <c r="M274" s="95" t="str">
        <f t="shared" ref="M274:M284" ca="1" si="40">INDIRECT(ADDRESS(MATCH(I274,$I$20:$I$500,0)+19,13))</f>
        <v>Segunda-feira (ISO 8601)</v>
      </c>
      <c r="N274" s="95" t="str">
        <f t="shared" ref="N274:N284" ca="1" si="41">INDIRECT(ADDRESS(MATCH(I274,$I$20:$I$500,0)+19,14))</f>
        <v>Maandag (ISO 8601)</v>
      </c>
      <c r="O274" s="290">
        <v>262</v>
      </c>
      <c r="P274" s="303" t="s">
        <v>1064</v>
      </c>
      <c r="Q274" s="303" t="s">
        <v>1064</v>
      </c>
      <c r="R274" s="303" t="s">
        <v>1064</v>
      </c>
      <c r="S274" s="303" t="s">
        <v>1064</v>
      </c>
    </row>
    <row r="275" spans="1:19" ht="12.75" customHeight="1">
      <c r="A275" s="110" t="s">
        <v>643</v>
      </c>
      <c r="B275" s="96" t="s">
        <v>214</v>
      </c>
      <c r="C275" s="85"/>
      <c r="D275" s="71" t="s">
        <v>66</v>
      </c>
      <c r="E275" s="67">
        <f>ROW(HideValues!K131)</f>
        <v>131</v>
      </c>
      <c r="F275" s="67">
        <f>COLUMN(HideValues!K131)</f>
        <v>11</v>
      </c>
      <c r="G275" s="231">
        <v>131</v>
      </c>
      <c r="H275" s="231">
        <v>11</v>
      </c>
      <c r="I275" s="185" t="s">
        <v>184</v>
      </c>
      <c r="J275" s="95" t="str">
        <f t="shared" ca="1" si="37"/>
        <v>Lundi</v>
      </c>
      <c r="K275" s="95" t="str">
        <f t="shared" ca="1" si="38"/>
        <v>Lunes</v>
      </c>
      <c r="L275" s="95" t="str">
        <f t="shared" ca="1" si="39"/>
        <v>Montag</v>
      </c>
      <c r="M275" s="95" t="str">
        <f t="shared" ca="1" si="40"/>
        <v>Segunda-feira</v>
      </c>
      <c r="N275" s="95" t="str">
        <f t="shared" ca="1" si="41"/>
        <v>Maandag</v>
      </c>
      <c r="O275" s="290">
        <v>263</v>
      </c>
      <c r="P275" s="303" t="s">
        <v>1064</v>
      </c>
      <c r="Q275" s="303" t="s">
        <v>1064</v>
      </c>
      <c r="R275" s="303" t="s">
        <v>1064</v>
      </c>
      <c r="S275" s="303" t="s">
        <v>1064</v>
      </c>
    </row>
    <row r="276" spans="1:19" ht="12.75" customHeight="1">
      <c r="A276" s="110" t="s">
        <v>643</v>
      </c>
      <c r="B276" s="96" t="s">
        <v>214</v>
      </c>
      <c r="C276" s="85"/>
      <c r="D276" s="71" t="s">
        <v>66</v>
      </c>
      <c r="E276" s="67">
        <f>ROW(HideValues!K132)</f>
        <v>132</v>
      </c>
      <c r="F276" s="67">
        <f>COLUMN(HideValues!K132)</f>
        <v>11</v>
      </c>
      <c r="G276" s="231">
        <v>132</v>
      </c>
      <c r="H276" s="231">
        <v>11</v>
      </c>
      <c r="I276" s="185" t="s">
        <v>185</v>
      </c>
      <c r="J276" s="95" t="str">
        <f t="shared" ca="1" si="37"/>
        <v>Mardi</v>
      </c>
      <c r="K276" s="95" t="str">
        <f t="shared" ca="1" si="38"/>
        <v>Martes</v>
      </c>
      <c r="L276" s="95" t="str">
        <f t="shared" ca="1" si="39"/>
        <v>Dienstag</v>
      </c>
      <c r="M276" s="95" t="str">
        <f t="shared" ca="1" si="40"/>
        <v>Terça-feira</v>
      </c>
      <c r="N276" s="95" t="str">
        <f t="shared" ca="1" si="41"/>
        <v>Dinsdag</v>
      </c>
      <c r="O276" s="290">
        <v>264</v>
      </c>
      <c r="P276" s="303" t="s">
        <v>1064</v>
      </c>
      <c r="Q276" s="303" t="s">
        <v>1064</v>
      </c>
      <c r="R276" s="303" t="s">
        <v>1064</v>
      </c>
      <c r="S276" s="303" t="s">
        <v>1064</v>
      </c>
    </row>
    <row r="277" spans="1:19" ht="12.75" customHeight="1">
      <c r="A277" s="110" t="s">
        <v>643</v>
      </c>
      <c r="B277" s="96" t="s">
        <v>214</v>
      </c>
      <c r="C277" s="85"/>
      <c r="D277" s="71" t="s">
        <v>66</v>
      </c>
      <c r="E277" s="67">
        <f>ROW(HideValues!K133)</f>
        <v>133</v>
      </c>
      <c r="F277" s="67">
        <f>COLUMN(HideValues!K133)</f>
        <v>11</v>
      </c>
      <c r="G277" s="231">
        <v>133</v>
      </c>
      <c r="H277" s="231">
        <v>11</v>
      </c>
      <c r="I277" s="185" t="s">
        <v>193</v>
      </c>
      <c r="J277" s="95" t="str">
        <f t="shared" ca="1" si="37"/>
        <v>Mercredi</v>
      </c>
      <c r="K277" s="95" t="str">
        <f t="shared" ca="1" si="38"/>
        <v>Miércoles</v>
      </c>
      <c r="L277" s="95" t="str">
        <f t="shared" ca="1" si="39"/>
        <v>Mittwoch</v>
      </c>
      <c r="M277" s="95" t="str">
        <f t="shared" ca="1" si="40"/>
        <v>Quarta-feira</v>
      </c>
      <c r="N277" s="95" t="str">
        <f t="shared" ca="1" si="41"/>
        <v>Woensdag</v>
      </c>
      <c r="O277" s="290">
        <v>265</v>
      </c>
      <c r="P277" s="303" t="s">
        <v>1064</v>
      </c>
      <c r="Q277" s="303" t="s">
        <v>1064</v>
      </c>
      <c r="R277" s="303" t="s">
        <v>1064</v>
      </c>
      <c r="S277" s="303" t="s">
        <v>1064</v>
      </c>
    </row>
    <row r="278" spans="1:19" ht="12.75" customHeight="1">
      <c r="A278" s="110" t="s">
        <v>643</v>
      </c>
      <c r="B278" s="96" t="s">
        <v>214</v>
      </c>
      <c r="C278" s="85"/>
      <c r="D278" s="71" t="s">
        <v>66</v>
      </c>
      <c r="E278" s="67">
        <f>ROW(HideValues!K134)</f>
        <v>134</v>
      </c>
      <c r="F278" s="67">
        <f>COLUMN(HideValues!K134)</f>
        <v>11</v>
      </c>
      <c r="G278" s="231">
        <v>134</v>
      </c>
      <c r="H278" s="231">
        <v>11</v>
      </c>
      <c r="I278" s="185" t="s">
        <v>194</v>
      </c>
      <c r="J278" s="95" t="str">
        <f t="shared" ca="1" si="37"/>
        <v>Jeudi</v>
      </c>
      <c r="K278" s="95" t="str">
        <f t="shared" ca="1" si="38"/>
        <v>Jueves</v>
      </c>
      <c r="L278" s="95" t="str">
        <f t="shared" ca="1" si="39"/>
        <v>Donnerstag</v>
      </c>
      <c r="M278" s="95" t="str">
        <f t="shared" ca="1" si="40"/>
        <v>Quinta-feira</v>
      </c>
      <c r="N278" s="95" t="str">
        <f t="shared" ca="1" si="41"/>
        <v>Donderdag</v>
      </c>
      <c r="O278" s="290">
        <v>266</v>
      </c>
      <c r="P278" s="303" t="s">
        <v>1064</v>
      </c>
      <c r="Q278" s="303" t="s">
        <v>1064</v>
      </c>
      <c r="R278" s="303" t="s">
        <v>1064</v>
      </c>
      <c r="S278" s="303" t="s">
        <v>1064</v>
      </c>
    </row>
    <row r="279" spans="1:19" ht="12.75" customHeight="1">
      <c r="A279" s="110" t="s">
        <v>643</v>
      </c>
      <c r="B279" s="96" t="s">
        <v>214</v>
      </c>
      <c r="C279" s="85"/>
      <c r="D279" s="71" t="s">
        <v>66</v>
      </c>
      <c r="E279" s="67">
        <f>ROW(HideValues!K135)</f>
        <v>135</v>
      </c>
      <c r="F279" s="67">
        <f>COLUMN(HideValues!K135)</f>
        <v>11</v>
      </c>
      <c r="G279" s="231">
        <v>135</v>
      </c>
      <c r="H279" s="231">
        <v>11</v>
      </c>
      <c r="I279" s="185" t="s">
        <v>195</v>
      </c>
      <c r="J279" s="95" t="str">
        <f t="shared" ca="1" si="37"/>
        <v>Vendredi</v>
      </c>
      <c r="K279" s="95" t="str">
        <f t="shared" ca="1" si="38"/>
        <v>Viernes</v>
      </c>
      <c r="L279" s="95" t="str">
        <f t="shared" ca="1" si="39"/>
        <v>Freitag</v>
      </c>
      <c r="M279" s="95" t="str">
        <f t="shared" ca="1" si="40"/>
        <v>Sexta-feira</v>
      </c>
      <c r="N279" s="95" t="str">
        <f t="shared" ca="1" si="41"/>
        <v>Vrijdag</v>
      </c>
      <c r="O279" s="290">
        <v>267</v>
      </c>
      <c r="P279" s="303" t="s">
        <v>1064</v>
      </c>
      <c r="Q279" s="303" t="s">
        <v>1064</v>
      </c>
      <c r="R279" s="303" t="s">
        <v>1064</v>
      </c>
      <c r="S279" s="303" t="s">
        <v>1064</v>
      </c>
    </row>
    <row r="280" spans="1:19" ht="12.75" customHeight="1">
      <c r="A280" s="110" t="s">
        <v>643</v>
      </c>
      <c r="B280" s="96" t="s">
        <v>214</v>
      </c>
      <c r="C280" s="85"/>
      <c r="D280" s="71" t="s">
        <v>66</v>
      </c>
      <c r="E280" s="67">
        <f>ROW(HideValues!K136)</f>
        <v>136</v>
      </c>
      <c r="F280" s="67">
        <f>COLUMN(HideValues!K136)</f>
        <v>11</v>
      </c>
      <c r="G280" s="231">
        <v>136</v>
      </c>
      <c r="H280" s="231">
        <v>11</v>
      </c>
      <c r="I280" s="185" t="s">
        <v>196</v>
      </c>
      <c r="J280" s="95" t="str">
        <f t="shared" ca="1" si="37"/>
        <v>Samedi</v>
      </c>
      <c r="K280" s="95" t="str">
        <f t="shared" ca="1" si="38"/>
        <v>Sábado</v>
      </c>
      <c r="L280" s="95" t="str">
        <f t="shared" ca="1" si="39"/>
        <v>Samstag</v>
      </c>
      <c r="M280" s="95" t="str">
        <f t="shared" ca="1" si="40"/>
        <v>Sábado</v>
      </c>
      <c r="N280" s="95" t="str">
        <f t="shared" ca="1" si="41"/>
        <v>Zaterdag</v>
      </c>
      <c r="O280" s="290">
        <v>268</v>
      </c>
      <c r="P280" s="303" t="s">
        <v>1064</v>
      </c>
      <c r="Q280" s="303" t="s">
        <v>1064</v>
      </c>
      <c r="R280" s="303" t="s">
        <v>1064</v>
      </c>
      <c r="S280" s="303" t="s">
        <v>1064</v>
      </c>
    </row>
    <row r="281" spans="1:19" ht="12.75" customHeight="1">
      <c r="A281" s="110" t="s">
        <v>643</v>
      </c>
      <c r="B281" s="96" t="s">
        <v>214</v>
      </c>
      <c r="C281" s="85"/>
      <c r="D281" s="71" t="s">
        <v>66</v>
      </c>
      <c r="E281" s="67">
        <f>ROW(HideValues!K137)</f>
        <v>137</v>
      </c>
      <c r="F281" s="67">
        <f>COLUMN(HideValues!K137)</f>
        <v>11</v>
      </c>
      <c r="G281" s="231">
        <v>137</v>
      </c>
      <c r="H281" s="231">
        <v>11</v>
      </c>
      <c r="I281" s="185" t="s">
        <v>197</v>
      </c>
      <c r="J281" s="95" t="str">
        <f t="shared" ca="1" si="37"/>
        <v>Dimanche</v>
      </c>
      <c r="K281" s="95" t="str">
        <f t="shared" ca="1" si="38"/>
        <v>Domingo</v>
      </c>
      <c r="L281" s="95" t="str">
        <f t="shared" ca="1" si="39"/>
        <v>Sonntag</v>
      </c>
      <c r="M281" s="95" t="str">
        <f t="shared" ca="1" si="40"/>
        <v>Domingo</v>
      </c>
      <c r="N281" s="95" t="str">
        <f t="shared" ca="1" si="41"/>
        <v>Zondag</v>
      </c>
      <c r="O281" s="290">
        <v>269</v>
      </c>
      <c r="P281" s="303" t="s">
        <v>1064</v>
      </c>
      <c r="Q281" s="303" t="s">
        <v>1064</v>
      </c>
      <c r="R281" s="303" t="s">
        <v>1064</v>
      </c>
      <c r="S281" s="303" t="s">
        <v>1064</v>
      </c>
    </row>
    <row r="282" spans="1:19" ht="12.75" customHeight="1">
      <c r="A282" s="110" t="s">
        <v>643</v>
      </c>
      <c r="B282" s="96" t="s">
        <v>214</v>
      </c>
      <c r="C282" s="85"/>
      <c r="D282" s="71" t="s">
        <v>66</v>
      </c>
      <c r="E282" s="67">
        <f>ROW(HideValues!K138)</f>
        <v>138</v>
      </c>
      <c r="F282" s="67">
        <f>COLUMN(HideValues!K138)</f>
        <v>11</v>
      </c>
      <c r="G282" s="231">
        <v>138</v>
      </c>
      <c r="H282" s="231">
        <v>11</v>
      </c>
      <c r="I282" s="185" t="s">
        <v>53</v>
      </c>
      <c r="J282" s="95" t="str">
        <f t="shared" ca="1" si="37"/>
        <v>Outils</v>
      </c>
      <c r="K282" s="95" t="str">
        <f t="shared" ca="1" si="38"/>
        <v>Herramientas</v>
      </c>
      <c r="L282" s="95" t="str">
        <f t="shared" ca="1" si="39"/>
        <v>Werkzeuge</v>
      </c>
      <c r="M282" s="95" t="str">
        <f t="shared" ca="1" si="40"/>
        <v>Ferramentas</v>
      </c>
      <c r="N282" s="95" t="str">
        <f t="shared" ca="1" si="41"/>
        <v>Hulpmiddelen</v>
      </c>
      <c r="O282" s="290">
        <v>270</v>
      </c>
      <c r="P282" s="303" t="s">
        <v>1064</v>
      </c>
      <c r="Q282" s="303" t="s">
        <v>1064</v>
      </c>
      <c r="R282" s="303" t="s">
        <v>1064</v>
      </c>
      <c r="S282" s="303" t="s">
        <v>1064</v>
      </c>
    </row>
    <row r="283" spans="1:19" ht="12.75" customHeight="1">
      <c r="A283" s="110" t="s">
        <v>643</v>
      </c>
      <c r="B283" s="96" t="s">
        <v>214</v>
      </c>
      <c r="C283" s="85"/>
      <c r="D283" s="71" t="s">
        <v>66</v>
      </c>
      <c r="E283" s="67">
        <f>ROW(HideValues!K139)</f>
        <v>139</v>
      </c>
      <c r="F283" s="67">
        <f>COLUMN(HideValues!K139)</f>
        <v>11</v>
      </c>
      <c r="G283" s="231">
        <v>139</v>
      </c>
      <c r="H283" s="231">
        <v>11</v>
      </c>
      <c r="I283" s="185" t="s">
        <v>53</v>
      </c>
      <c r="J283" s="95" t="str">
        <f t="shared" ca="1" si="37"/>
        <v>Outils</v>
      </c>
      <c r="K283" s="95" t="str">
        <f t="shared" ca="1" si="38"/>
        <v>Herramientas</v>
      </c>
      <c r="L283" s="95" t="str">
        <f t="shared" ca="1" si="39"/>
        <v>Werkzeuge</v>
      </c>
      <c r="M283" s="95" t="str">
        <f t="shared" ca="1" si="40"/>
        <v>Ferramentas</v>
      </c>
      <c r="N283" s="95" t="str">
        <f t="shared" ca="1" si="41"/>
        <v>Hulpmiddelen</v>
      </c>
      <c r="O283" s="290">
        <v>271</v>
      </c>
      <c r="P283" s="303" t="s">
        <v>1064</v>
      </c>
      <c r="Q283" s="303" t="s">
        <v>1064</v>
      </c>
      <c r="R283" s="303" t="s">
        <v>1064</v>
      </c>
      <c r="S283" s="303" t="s">
        <v>1064</v>
      </c>
    </row>
    <row r="284" spans="1:19" ht="12.75" customHeight="1">
      <c r="A284" s="110" t="s">
        <v>643</v>
      </c>
      <c r="B284" s="96" t="s">
        <v>214</v>
      </c>
      <c r="C284" s="85"/>
      <c r="D284" s="71" t="s">
        <v>66</v>
      </c>
      <c r="E284" s="67">
        <f>ROW(HideValues!K140)</f>
        <v>140</v>
      </c>
      <c r="F284" s="67">
        <f>COLUMN(HideValues!K140)</f>
        <v>11</v>
      </c>
      <c r="G284" s="231">
        <v>140</v>
      </c>
      <c r="H284" s="231">
        <v>11</v>
      </c>
      <c r="I284" s="185" t="s">
        <v>513</v>
      </c>
      <c r="J284" s="95" t="str">
        <f t="shared" ca="1" si="37"/>
        <v>Mettre à jour congés</v>
      </c>
      <c r="K284" s="95" t="str">
        <f t="shared" ca="1" si="38"/>
        <v>Actualizar días de fiesta</v>
      </c>
      <c r="L284" s="95" t="str">
        <f t="shared" ca="1" si="39"/>
        <v>Urlaub aktualisieren</v>
      </c>
      <c r="M284" s="95" t="str">
        <f t="shared" ca="1" si="40"/>
        <v>Atualizar feriados</v>
      </c>
      <c r="N284" s="95" t="str">
        <f t="shared" ca="1" si="41"/>
        <v>Update feestdagen</v>
      </c>
      <c r="O284" s="290">
        <v>272</v>
      </c>
      <c r="P284" s="303" t="s">
        <v>1064</v>
      </c>
      <c r="Q284" s="303" t="s">
        <v>1064</v>
      </c>
      <c r="R284" s="303" t="s">
        <v>1064</v>
      </c>
      <c r="S284" s="303" t="s">
        <v>1064</v>
      </c>
    </row>
    <row r="285" spans="1:19" ht="12.75" customHeight="1">
      <c r="A285" s="110" t="s">
        <v>643</v>
      </c>
      <c r="B285" s="96" t="s">
        <v>214</v>
      </c>
      <c r="C285" s="85"/>
      <c r="D285" s="71" t="s">
        <v>66</v>
      </c>
      <c r="E285" s="67">
        <f>ROW(HideValues!K141)</f>
        <v>141</v>
      </c>
      <c r="F285" s="67">
        <f>COLUMN(HideValues!K141)</f>
        <v>11</v>
      </c>
      <c r="G285" s="231">
        <v>141</v>
      </c>
      <c r="H285" s="231">
        <v>11</v>
      </c>
      <c r="I285" s="186" t="s">
        <v>569</v>
      </c>
      <c r="J285" s="97" t="s">
        <v>958</v>
      </c>
      <c r="K285" s="291" t="s">
        <v>959</v>
      </c>
      <c r="L285" s="293" t="s">
        <v>1544</v>
      </c>
      <c r="M285" s="291" t="s">
        <v>1229</v>
      </c>
      <c r="N285" s="291" t="s">
        <v>1418</v>
      </c>
      <c r="O285" s="303">
        <v>273</v>
      </c>
      <c r="P285" s="303" t="s">
        <v>1064</v>
      </c>
      <c r="Q285" s="303" t="s">
        <v>1064</v>
      </c>
      <c r="R285" s="303" t="s">
        <v>1064</v>
      </c>
      <c r="S285" s="303" t="s">
        <v>1064</v>
      </c>
    </row>
    <row r="286" spans="1:19" ht="12.75" customHeight="1">
      <c r="A286" s="110" t="s">
        <v>643</v>
      </c>
      <c r="B286" s="96" t="s">
        <v>214</v>
      </c>
      <c r="C286" s="85"/>
      <c r="D286" s="71" t="s">
        <v>66</v>
      </c>
      <c r="E286" s="67">
        <f>ROW(HideValues!K142)</f>
        <v>142</v>
      </c>
      <c r="F286" s="67">
        <f>COLUMN(HideValues!K142)</f>
        <v>11</v>
      </c>
      <c r="G286" s="231">
        <v>142</v>
      </c>
      <c r="H286" s="231">
        <v>11</v>
      </c>
      <c r="I286" s="186" t="s">
        <v>570</v>
      </c>
      <c r="J286" s="97" t="s">
        <v>654</v>
      </c>
      <c r="K286" s="297" t="s">
        <v>773</v>
      </c>
      <c r="L286" s="293" t="s">
        <v>1545</v>
      </c>
      <c r="M286" s="291" t="s">
        <v>1230</v>
      </c>
      <c r="N286" s="297" t="s">
        <v>1419</v>
      </c>
      <c r="O286" s="303">
        <v>274</v>
      </c>
      <c r="P286" s="303" t="s">
        <v>1064</v>
      </c>
      <c r="Q286" s="303" t="s">
        <v>1064</v>
      </c>
      <c r="R286" s="303" t="s">
        <v>1064</v>
      </c>
      <c r="S286" s="303" t="s">
        <v>1064</v>
      </c>
    </row>
    <row r="287" spans="1:19" ht="12.75" customHeight="1">
      <c r="A287" s="110" t="s">
        <v>643</v>
      </c>
      <c r="B287" s="96" t="s">
        <v>214</v>
      </c>
      <c r="C287" s="85"/>
      <c r="D287" s="71" t="s">
        <v>66</v>
      </c>
      <c r="E287" s="67">
        <f>ROW(HideValues!K143)</f>
        <v>143</v>
      </c>
      <c r="F287" s="67">
        <f>COLUMN(HideValues!K143)</f>
        <v>11</v>
      </c>
      <c r="G287" s="231">
        <v>143</v>
      </c>
      <c r="H287" s="231">
        <v>11</v>
      </c>
      <c r="I287" s="186" t="s">
        <v>571</v>
      </c>
      <c r="J287" s="97" t="s">
        <v>655</v>
      </c>
      <c r="K287" s="297" t="s">
        <v>774</v>
      </c>
      <c r="L287" s="293" t="s">
        <v>1546</v>
      </c>
      <c r="M287" s="291" t="s">
        <v>1231</v>
      </c>
      <c r="N287" s="297" t="s">
        <v>1420</v>
      </c>
      <c r="O287" s="303">
        <v>275</v>
      </c>
      <c r="P287" s="303" t="s">
        <v>1064</v>
      </c>
      <c r="Q287" s="303" t="s">
        <v>1064</v>
      </c>
      <c r="R287" s="303" t="s">
        <v>1064</v>
      </c>
      <c r="S287" s="303" t="s">
        <v>1064</v>
      </c>
    </row>
    <row r="288" spans="1:19" ht="12.75" customHeight="1">
      <c r="A288" s="110" t="s">
        <v>643</v>
      </c>
      <c r="B288" s="96" t="s">
        <v>214</v>
      </c>
      <c r="C288" s="85"/>
      <c r="D288" s="71" t="s">
        <v>66</v>
      </c>
      <c r="E288" s="67">
        <f>ROW(HideValues!K144)</f>
        <v>144</v>
      </c>
      <c r="F288" s="67">
        <f>COLUMN(HideValues!K144)</f>
        <v>11</v>
      </c>
      <c r="G288" s="231">
        <v>144</v>
      </c>
      <c r="H288" s="231">
        <v>11</v>
      </c>
      <c r="I288" s="185" t="s">
        <v>515</v>
      </c>
      <c r="J288" s="95" t="str">
        <f ca="1">INDIRECT(ADDRESS(MATCH(I288,$I$20:$I$500,0)+19,10))</f>
        <v>Envoyer par email</v>
      </c>
      <c r="K288" s="95" t="str">
        <f ca="1">INDIRECT(ADDRESS(MATCH(I288,$I$20:$I$500,0)+19,11))</f>
        <v>Enviar por correo electrónico</v>
      </c>
      <c r="L288" s="95" t="str">
        <f ca="1">INDIRECT(ADDRESS(MATCH(I288,$I$20:$I$500,0)+19,12))</f>
        <v>Per E-Mail senden</v>
      </c>
      <c r="M288" s="95" t="str">
        <f ca="1">INDIRECT(ADDRESS(MATCH(I288,$I$20:$I$500,0)+19,13))</f>
        <v>Enviar por e-mail</v>
      </c>
      <c r="N288" s="95" t="str">
        <f ca="1">INDIRECT(ADDRESS(MATCH(I288,$I$20:$I$500,0)+19,14))</f>
        <v>Sturen via e-mail</v>
      </c>
      <c r="O288" s="290">
        <v>276</v>
      </c>
      <c r="P288" s="303" t="s">
        <v>1064</v>
      </c>
      <c r="Q288" s="303" t="s">
        <v>1064</v>
      </c>
      <c r="R288" s="303" t="s">
        <v>1064</v>
      </c>
      <c r="S288" s="303" t="s">
        <v>1064</v>
      </c>
    </row>
    <row r="289" spans="1:19" ht="12.75" customHeight="1">
      <c r="A289" s="110" t="s">
        <v>643</v>
      </c>
      <c r="B289" s="96" t="s">
        <v>214</v>
      </c>
      <c r="C289" s="85"/>
      <c r="D289" s="71" t="s">
        <v>66</v>
      </c>
      <c r="E289" s="67">
        <f>ROW(HideValues!K145)</f>
        <v>145</v>
      </c>
      <c r="F289" s="67">
        <f>COLUMN(HideValues!K145)</f>
        <v>11</v>
      </c>
      <c r="G289" s="231">
        <v>145</v>
      </c>
      <c r="H289" s="231">
        <v>11</v>
      </c>
      <c r="I289" s="185" t="s">
        <v>516</v>
      </c>
      <c r="J289" s="95" t="str">
        <f ca="1">INDIRECT(ADDRESS(MATCH(I289,$I$20:$I$500,0)+19,10))</f>
        <v>Ajuster à l'impression</v>
      </c>
      <c r="K289" s="95" t="str">
        <f ca="1">INDIRECT(ADDRESS(MATCH(I289,$I$20:$I$500,0)+19,11))</f>
        <v>Ajuste para imprimir</v>
      </c>
      <c r="L289" s="95" t="str">
        <f ca="1">INDIRECT(ADDRESS(MATCH(I289,$I$20:$I$500,0)+19,12))</f>
        <v>Druckränder einstellen</v>
      </c>
      <c r="M289" s="95" t="str">
        <f ca="1">INDIRECT(ADDRESS(MATCH(I289,$I$20:$I$500,0)+19,13))</f>
        <v>Ajustar as margens de impressão</v>
      </c>
      <c r="N289" s="95" t="str">
        <f ca="1">INDIRECT(ADDRESS(MATCH(I289,$I$20:$I$500,0)+19,14))</f>
        <v>Afdrukmarges aanpassen</v>
      </c>
      <c r="O289" s="290">
        <v>277</v>
      </c>
      <c r="P289" s="303" t="s">
        <v>1064</v>
      </c>
      <c r="Q289" s="303" t="s">
        <v>1064</v>
      </c>
      <c r="R289" s="303" t="s">
        <v>1064</v>
      </c>
      <c r="S289" s="303" t="s">
        <v>1064</v>
      </c>
    </row>
    <row r="290" spans="1:19" ht="12.75" customHeight="1">
      <c r="A290" s="110" t="s">
        <v>643</v>
      </c>
      <c r="B290" s="96" t="s">
        <v>214</v>
      </c>
      <c r="C290" s="85"/>
      <c r="D290" s="71" t="s">
        <v>66</v>
      </c>
      <c r="E290" s="67">
        <f>ROW(HideValues!K146)</f>
        <v>146</v>
      </c>
      <c r="F290" s="67">
        <f>COLUMN(HideValues!K146)</f>
        <v>11</v>
      </c>
      <c r="G290" s="231">
        <v>146</v>
      </c>
      <c r="H290" s="231">
        <v>11</v>
      </c>
      <c r="I290" s="186" t="s">
        <v>572</v>
      </c>
      <c r="J290" s="97" t="s">
        <v>652</v>
      </c>
      <c r="K290" s="297" t="s">
        <v>775</v>
      </c>
      <c r="L290" s="297" t="s">
        <v>769</v>
      </c>
      <c r="M290" s="291" t="s">
        <v>1232</v>
      </c>
      <c r="N290" s="297" t="s">
        <v>1421</v>
      </c>
      <c r="O290" s="303">
        <v>278</v>
      </c>
      <c r="P290" s="303" t="s">
        <v>1064</v>
      </c>
      <c r="Q290" s="303" t="s">
        <v>1064</v>
      </c>
      <c r="R290" s="303" t="s">
        <v>1064</v>
      </c>
      <c r="S290" s="303" t="s">
        <v>1064</v>
      </c>
    </row>
    <row r="291" spans="1:19" ht="25.5" customHeight="1">
      <c r="A291" s="110" t="s">
        <v>643</v>
      </c>
      <c r="B291" s="96" t="s">
        <v>214</v>
      </c>
      <c r="C291" s="85"/>
      <c r="D291" s="71" t="s">
        <v>66</v>
      </c>
      <c r="E291" s="67">
        <f>ROW(HideValues!K147)</f>
        <v>147</v>
      </c>
      <c r="F291" s="67">
        <f>COLUMN(HideValues!K147)</f>
        <v>11</v>
      </c>
      <c r="G291" s="231">
        <v>147</v>
      </c>
      <c r="H291" s="231">
        <v>11</v>
      </c>
      <c r="I291" s="186" t="s">
        <v>573</v>
      </c>
      <c r="J291" s="97" t="s">
        <v>653</v>
      </c>
      <c r="K291" s="303" t="s">
        <v>1598</v>
      </c>
      <c r="L291" s="293" t="s">
        <v>1547</v>
      </c>
      <c r="M291" s="291" t="s">
        <v>1233</v>
      </c>
      <c r="N291" s="291" t="s">
        <v>1422</v>
      </c>
      <c r="O291" s="303">
        <v>279</v>
      </c>
      <c r="P291" s="303" t="s">
        <v>1064</v>
      </c>
      <c r="Q291" s="303" t="s">
        <v>1064</v>
      </c>
      <c r="R291" s="303" t="s">
        <v>1064</v>
      </c>
      <c r="S291" s="303" t="s">
        <v>1064</v>
      </c>
    </row>
    <row r="292" spans="1:19" ht="12.75" customHeight="1">
      <c r="A292" s="110" t="s">
        <v>643</v>
      </c>
      <c r="B292" s="96" t="s">
        <v>214</v>
      </c>
      <c r="C292" s="85"/>
      <c r="D292" s="71" t="s">
        <v>66</v>
      </c>
      <c r="E292" s="67">
        <f>ROW(HideValues!K148)</f>
        <v>148</v>
      </c>
      <c r="F292" s="67">
        <f>COLUMN(HideValues!K148)</f>
        <v>11</v>
      </c>
      <c r="G292" s="231">
        <v>148</v>
      </c>
      <c r="H292" s="231">
        <v>11</v>
      </c>
      <c r="I292" s="185" t="s">
        <v>518</v>
      </c>
      <c r="J292" s="95" t="str">
        <f t="shared" ref="J292:J297" ca="1" si="42">INDIRECT(ADDRESS(MATCH(I292,$I$20:$I$500,0)+19,10))</f>
        <v>Signaler un problème</v>
      </c>
      <c r="K292" s="95" t="str">
        <f ca="1">INDIRECT(ADDRESS(MATCH(I292,$I$20:$I$500,0)+19,11))</f>
        <v>Informar de un error</v>
      </c>
      <c r="L292" s="95" t="str">
        <f t="shared" ref="L292:L297" ca="1" si="43">INDIRECT(ADDRESS(MATCH(I292,$I$20:$I$500,0)+19,12))</f>
        <v>Ein Problem melden</v>
      </c>
      <c r="M292" s="95" t="str">
        <f t="shared" ref="M292:M297" ca="1" si="44">INDIRECT(ADDRESS(MATCH(I292,$I$20:$I$500,0)+19,13))</f>
        <v>Relatar um problema</v>
      </c>
      <c r="N292" s="95" t="str">
        <f t="shared" ref="N292:N297" ca="1" si="45">INDIRECT(ADDRESS(MATCH(I292,$I$20:$I$500,0)+19,14))</f>
        <v>Meld een probleem</v>
      </c>
      <c r="O292" s="290">
        <v>280</v>
      </c>
      <c r="P292" s="303" t="s">
        <v>1064</v>
      </c>
      <c r="Q292" s="303" t="s">
        <v>1064</v>
      </c>
      <c r="R292" s="303" t="s">
        <v>1064</v>
      </c>
      <c r="S292" s="303" t="s">
        <v>1064</v>
      </c>
    </row>
    <row r="293" spans="1:19" ht="12.75" customHeight="1">
      <c r="A293" s="110" t="s">
        <v>643</v>
      </c>
      <c r="B293" s="96" t="s">
        <v>214</v>
      </c>
      <c r="C293" s="85"/>
      <c r="D293" s="71" t="s">
        <v>66</v>
      </c>
      <c r="E293" s="67">
        <f>ROW(HideValues!K149)</f>
        <v>149</v>
      </c>
      <c r="F293" s="67">
        <f>COLUMN(HideValues!K149)</f>
        <v>11</v>
      </c>
      <c r="G293" s="231">
        <v>149</v>
      </c>
      <c r="H293" s="231">
        <v>11</v>
      </c>
      <c r="I293" s="185" t="s">
        <v>250</v>
      </c>
      <c r="J293" s="95" t="str">
        <f t="shared" ca="1" si="42"/>
        <v>Langue</v>
      </c>
      <c r="K293" s="95" t="str">
        <f ca="1">INDIRECT(ADDRESS(MATCH(I293,$I$20:$I$500,0)+19,11))</f>
        <v>Idioma</v>
      </c>
      <c r="L293" s="95" t="str">
        <f t="shared" ca="1" si="43"/>
        <v>Sprache</v>
      </c>
      <c r="M293" s="95" t="str">
        <f t="shared" ca="1" si="44"/>
        <v>Idioma</v>
      </c>
      <c r="N293" s="95" t="str">
        <f t="shared" ca="1" si="45"/>
        <v>Taal</v>
      </c>
      <c r="O293" s="290">
        <v>281</v>
      </c>
      <c r="P293" s="303" t="s">
        <v>1064</v>
      </c>
      <c r="Q293" s="303" t="s">
        <v>1064</v>
      </c>
      <c r="R293" s="303" t="s">
        <v>1064</v>
      </c>
      <c r="S293" s="303" t="s">
        <v>1064</v>
      </c>
    </row>
    <row r="294" spans="1:19" ht="12.75" customHeight="1">
      <c r="A294" s="110" t="s">
        <v>643</v>
      </c>
      <c r="B294" s="96" t="s">
        <v>214</v>
      </c>
      <c r="C294" s="85"/>
      <c r="D294" s="71" t="s">
        <v>66</v>
      </c>
      <c r="E294" s="67">
        <f>ROW(HideValues!K150)</f>
        <v>150</v>
      </c>
      <c r="F294" s="67">
        <f>COLUMN(HideValues!K150)</f>
        <v>11</v>
      </c>
      <c r="G294" s="231">
        <v>150</v>
      </c>
      <c r="H294" s="231">
        <v>11</v>
      </c>
      <c r="I294" s="185" t="s">
        <v>520</v>
      </c>
      <c r="J294" s="95" t="str">
        <f t="shared" ca="1" si="42"/>
        <v>À propos</v>
      </c>
      <c r="K294" s="95" t="str">
        <f ca="1">INDIRECT(ADDRESS(MATCH(I294,$I$20:$I$500,0)+19,11))</f>
        <v>Acerca de</v>
      </c>
      <c r="L294" s="95" t="str">
        <f t="shared" ca="1" si="43"/>
        <v>Über</v>
      </c>
      <c r="M294" s="95" t="str">
        <f t="shared" ca="1" si="44"/>
        <v>Sobre</v>
      </c>
      <c r="N294" s="95" t="str">
        <f t="shared" ca="1" si="45"/>
        <v>Over</v>
      </c>
      <c r="O294" s="290">
        <v>282</v>
      </c>
      <c r="P294" s="303" t="s">
        <v>1064</v>
      </c>
      <c r="Q294" s="303" t="s">
        <v>1064</v>
      </c>
      <c r="R294" s="303" t="s">
        <v>1064</v>
      </c>
      <c r="S294" s="303" t="s">
        <v>1064</v>
      </c>
    </row>
    <row r="295" spans="1:19" ht="12.75" customHeight="1">
      <c r="A295" s="110" t="s">
        <v>643</v>
      </c>
      <c r="B295" s="96" t="s">
        <v>214</v>
      </c>
      <c r="C295" s="85"/>
      <c r="D295" s="71" t="s">
        <v>66</v>
      </c>
      <c r="E295" s="67">
        <f>ROW(HideValues!K151)</f>
        <v>151</v>
      </c>
      <c r="F295" s="67">
        <f>COLUMN(HideValues!K151)</f>
        <v>11</v>
      </c>
      <c r="G295" s="231">
        <v>151</v>
      </c>
      <c r="H295" s="231">
        <v>11</v>
      </c>
      <c r="I295" s="185" t="s">
        <v>517</v>
      </c>
      <c r="J295" s="95" t="str">
        <f t="shared" ca="1" si="42"/>
        <v>Enquête de satisfaction</v>
      </c>
      <c r="K295" s="95" t="str">
        <f ca="1">INDIRECT(ADDRESS(MATCH(I295,$I$20:$I$500,0)+19,11))</f>
        <v>Encuesta de satisfacción</v>
      </c>
      <c r="L295" s="95" t="str">
        <f t="shared" ca="1" si="43"/>
        <v>Zufriedenheitsstudie</v>
      </c>
      <c r="M295" s="95" t="str">
        <f t="shared" ca="1" si="44"/>
        <v>Pesquisa de satisfação</v>
      </c>
      <c r="N295" s="95" t="str">
        <f t="shared" ca="1" si="45"/>
        <v>Tevredenheidsonderzoek</v>
      </c>
      <c r="O295" s="290">
        <v>283</v>
      </c>
      <c r="P295" s="303" t="s">
        <v>1064</v>
      </c>
      <c r="Q295" s="303" t="s">
        <v>1064</v>
      </c>
      <c r="R295" s="303" t="s">
        <v>1064</v>
      </c>
      <c r="S295" s="303" t="s">
        <v>1064</v>
      </c>
    </row>
    <row r="296" spans="1:19" ht="12.75" customHeight="1">
      <c r="A296" s="110" t="s">
        <v>643</v>
      </c>
      <c r="B296" s="96" t="s">
        <v>214</v>
      </c>
      <c r="C296" s="85"/>
      <c r="D296" s="71" t="s">
        <v>66</v>
      </c>
      <c r="E296" s="67">
        <f>ROW(HideValues!K152)</f>
        <v>152</v>
      </c>
      <c r="F296" s="67">
        <f>COLUMN(HideValues!K152)</f>
        <v>11</v>
      </c>
      <c r="G296" s="231">
        <v>152</v>
      </c>
      <c r="H296" s="231">
        <v>11</v>
      </c>
      <c r="I296" s="185" t="s">
        <v>519</v>
      </c>
      <c r="J296" s="95" t="str">
        <f t="shared" ca="1" si="42"/>
        <v>Aide</v>
      </c>
      <c r="K296" s="95" t="str">
        <f ca="1">INDIRECT(ADDRESS(MATCH(I296,$I$20:$I$500,0)+19,11))</f>
        <v>Ayuda</v>
      </c>
      <c r="L296" s="95" t="str">
        <f t="shared" ca="1" si="43"/>
        <v>Hilfe</v>
      </c>
      <c r="M296" s="95" t="str">
        <f t="shared" ca="1" si="44"/>
        <v>Ajuda</v>
      </c>
      <c r="N296" s="95" t="str">
        <f t="shared" ca="1" si="45"/>
        <v>Help</v>
      </c>
      <c r="O296" s="290">
        <v>284</v>
      </c>
      <c r="P296" s="303" t="s">
        <v>1064</v>
      </c>
      <c r="Q296" s="303" t="s">
        <v>1064</v>
      </c>
      <c r="R296" s="303" t="s">
        <v>1064</v>
      </c>
      <c r="S296" s="303" t="s">
        <v>1064</v>
      </c>
    </row>
    <row r="297" spans="1:19" ht="12.75" customHeight="1">
      <c r="A297" s="110" t="s">
        <v>643</v>
      </c>
      <c r="B297" s="96" t="s">
        <v>214</v>
      </c>
      <c r="C297" s="85"/>
      <c r="D297" s="71" t="s">
        <v>66</v>
      </c>
      <c r="E297" s="67">
        <f>ROW(HideValues!K153)</f>
        <v>153</v>
      </c>
      <c r="F297" s="67">
        <f>COLUMN(HideValues!K153)</f>
        <v>11</v>
      </c>
      <c r="G297" s="231">
        <v>153</v>
      </c>
      <c r="H297" s="231">
        <v>11</v>
      </c>
      <c r="I297" s="185" t="s">
        <v>520</v>
      </c>
      <c r="J297" s="95" t="str">
        <f t="shared" ca="1" si="42"/>
        <v>À propos</v>
      </c>
      <c r="K297" s="95" t="str">
        <f ca="1">INDIRECT(ADDRESS(MATCH(I297,$I$20:$I$319,0)+19,11))</f>
        <v>Acerca de</v>
      </c>
      <c r="L297" s="95" t="str">
        <f t="shared" ca="1" si="43"/>
        <v>Über</v>
      </c>
      <c r="M297" s="95" t="str">
        <f t="shared" ca="1" si="44"/>
        <v>Sobre</v>
      </c>
      <c r="N297" s="95" t="str">
        <f t="shared" ca="1" si="45"/>
        <v>Over</v>
      </c>
      <c r="O297" s="290">
        <v>285</v>
      </c>
      <c r="P297" s="303" t="s">
        <v>1064</v>
      </c>
      <c r="Q297" s="303" t="s">
        <v>1064</v>
      </c>
      <c r="R297" s="303" t="s">
        <v>1064</v>
      </c>
      <c r="S297" s="303" t="s">
        <v>1064</v>
      </c>
    </row>
    <row r="298" spans="1:19" ht="12.75" customHeight="1">
      <c r="A298" s="110" t="s">
        <v>643</v>
      </c>
      <c r="B298" s="96" t="s">
        <v>214</v>
      </c>
      <c r="C298" s="85"/>
      <c r="D298" s="71" t="s">
        <v>66</v>
      </c>
      <c r="E298" s="67">
        <f>ROW(HideValues!K154)</f>
        <v>154</v>
      </c>
      <c r="F298" s="67">
        <f>COLUMN(HideValues!K154)</f>
        <v>11</v>
      </c>
      <c r="G298" s="231">
        <v>154</v>
      </c>
      <c r="H298" s="231">
        <v>11</v>
      </c>
      <c r="I298" s="186" t="s">
        <v>664</v>
      </c>
      <c r="J298" s="97" t="s">
        <v>665</v>
      </c>
      <c r="K298" s="297" t="s">
        <v>776</v>
      </c>
      <c r="L298" s="293" t="s">
        <v>1548</v>
      </c>
      <c r="M298" s="291" t="s">
        <v>1234</v>
      </c>
      <c r="N298" s="297" t="s">
        <v>1423</v>
      </c>
      <c r="O298" s="303">
        <v>286</v>
      </c>
      <c r="P298" s="303" t="s">
        <v>1064</v>
      </c>
      <c r="Q298" s="303" t="s">
        <v>1064</v>
      </c>
      <c r="R298" s="303" t="s">
        <v>1064</v>
      </c>
      <c r="S298" s="303" t="s">
        <v>1064</v>
      </c>
    </row>
    <row r="299" spans="1:19" ht="12.75" customHeight="1">
      <c r="A299" s="110" t="s">
        <v>643</v>
      </c>
      <c r="B299" s="96" t="s">
        <v>214</v>
      </c>
      <c r="C299" s="85"/>
      <c r="D299" s="71" t="s">
        <v>66</v>
      </c>
      <c r="E299" s="67">
        <f>ROW(HideValues!K155)</f>
        <v>155</v>
      </c>
      <c r="F299" s="67">
        <f>COLUMN(HideValues!K155)</f>
        <v>11</v>
      </c>
      <c r="G299" s="231">
        <v>155</v>
      </c>
      <c r="H299" s="231">
        <v>11</v>
      </c>
      <c r="I299" s="185" t="s">
        <v>686</v>
      </c>
      <c r="J299" s="95" t="str">
        <f t="shared" ref="J299:J315" ca="1" si="46">INDIRECT(ADDRESS(MATCH(I299,$I$20:$I$233,0)+19,10))</f>
        <v>Ajout personnalisé</v>
      </c>
      <c r="K299" s="95" t="str">
        <f t="shared" ref="K299:K315" ca="1" si="47">INDIRECT(ADDRESS(MATCH(I299,$I$20:$I$319,0)+19,11))</f>
        <v>Adición personalizada</v>
      </c>
      <c r="L299" s="95" t="str">
        <f t="shared" ref="L299:L315" ca="1" si="48">INDIRECT(ADDRESS(MATCH(I299,$I$20:$I$330,0)+19,12))</f>
        <v>Kundenspezifischer Zusatz</v>
      </c>
      <c r="M299" s="95" t="str">
        <f t="shared" ref="M299:M315" ca="1" si="49">INDIRECT(ADDRESS(MATCH(I299,$I$20:$I$500,0)+19,13))</f>
        <v>Adição personalizada</v>
      </c>
      <c r="N299" s="95" t="str">
        <f t="shared" ref="N299:N315" ca="1" si="50">INDIRECT(ADDRESS(MATCH(I299,$I$20:$I$500,0)+19,14))</f>
        <v>Aangepaste toevoeging</v>
      </c>
      <c r="O299" s="290">
        <v>287</v>
      </c>
      <c r="P299" s="303" t="s">
        <v>1064</v>
      </c>
      <c r="Q299" s="303" t="s">
        <v>1064</v>
      </c>
      <c r="R299" s="303" t="s">
        <v>1064</v>
      </c>
      <c r="S299" s="303" t="s">
        <v>1064</v>
      </c>
    </row>
    <row r="300" spans="1:19" ht="12.75" customHeight="1">
      <c r="A300" s="110" t="s">
        <v>643</v>
      </c>
      <c r="B300" s="96" t="s">
        <v>214</v>
      </c>
      <c r="C300" s="85"/>
      <c r="D300" s="71" t="s">
        <v>66</v>
      </c>
      <c r="E300" s="67">
        <f>ROW(HideValues!K156)</f>
        <v>156</v>
      </c>
      <c r="F300" s="67">
        <f>COLUMN(HideValues!K156)</f>
        <v>11</v>
      </c>
      <c r="G300" s="231">
        <v>156</v>
      </c>
      <c r="H300" s="231">
        <v>11</v>
      </c>
      <c r="I300" s="185" t="s">
        <v>755</v>
      </c>
      <c r="J300" s="95" t="str">
        <f t="shared" ca="1" si="46"/>
        <v>Style</v>
      </c>
      <c r="K300" s="95" t="str">
        <f t="shared" ca="1" si="47"/>
        <v>Estilo</v>
      </c>
      <c r="L300" s="95" t="str">
        <f t="shared" ca="1" si="48"/>
        <v>Stil</v>
      </c>
      <c r="M300" s="95" t="str">
        <f t="shared" ca="1" si="49"/>
        <v>Estilo</v>
      </c>
      <c r="N300" s="95" t="str">
        <f t="shared" ca="1" si="50"/>
        <v>Stijl</v>
      </c>
      <c r="O300" s="290">
        <v>288</v>
      </c>
      <c r="P300" s="303" t="s">
        <v>1064</v>
      </c>
      <c r="Q300" s="303" t="s">
        <v>1064</v>
      </c>
      <c r="R300" s="303" t="s">
        <v>1064</v>
      </c>
      <c r="S300" s="303" t="s">
        <v>1064</v>
      </c>
    </row>
    <row r="301" spans="1:19" ht="12.75" customHeight="1">
      <c r="A301" s="110" t="s">
        <v>643</v>
      </c>
      <c r="B301" s="96" t="s">
        <v>214</v>
      </c>
      <c r="C301" s="85"/>
      <c r="D301" s="71" t="s">
        <v>66</v>
      </c>
      <c r="E301" s="67">
        <f>ROW(HideValues!K157)</f>
        <v>157</v>
      </c>
      <c r="F301" s="67">
        <f>COLUMN(HideValues!K157)</f>
        <v>11</v>
      </c>
      <c r="G301" s="231">
        <v>157</v>
      </c>
      <c r="H301" s="231">
        <v>11</v>
      </c>
      <c r="I301" s="185" t="s">
        <v>745</v>
      </c>
      <c r="J301" s="95" t="str">
        <f t="shared" ca="1" si="46"/>
        <v>Palette par défaut</v>
      </c>
      <c r="K301" s="95" t="str">
        <f t="shared" ca="1" si="47"/>
        <v>Paleta predeterminada</v>
      </c>
      <c r="L301" s="95" t="str">
        <f t="shared" ca="1" si="48"/>
        <v>Standardfarben</v>
      </c>
      <c r="M301" s="95" t="str">
        <f t="shared" ca="1" si="49"/>
        <v>Cores Padrão</v>
      </c>
      <c r="N301" s="95" t="str">
        <f t="shared" ca="1" si="50"/>
        <v>Standaardkleuren</v>
      </c>
      <c r="O301" s="290">
        <v>289</v>
      </c>
      <c r="P301" s="303" t="s">
        <v>1064</v>
      </c>
      <c r="Q301" s="303" t="s">
        <v>1064</v>
      </c>
      <c r="R301" s="303" t="s">
        <v>1064</v>
      </c>
      <c r="S301" s="303" t="s">
        <v>1064</v>
      </c>
    </row>
    <row r="302" spans="1:19" ht="12.75" customHeight="1">
      <c r="A302" s="110" t="s">
        <v>643</v>
      </c>
      <c r="B302" s="96" t="s">
        <v>214</v>
      </c>
      <c r="C302" s="85"/>
      <c r="D302" s="71" t="s">
        <v>66</v>
      </c>
      <c r="E302" s="67">
        <f>ROW(HideValues!K158)</f>
        <v>158</v>
      </c>
      <c r="F302" s="67">
        <f>COLUMN(HideValues!K158)</f>
        <v>11</v>
      </c>
      <c r="G302" s="231">
        <v>158</v>
      </c>
      <c r="H302" s="231">
        <v>11</v>
      </c>
      <c r="I302" s="185" t="s">
        <v>746</v>
      </c>
      <c r="J302" s="95" t="str">
        <f t="shared" ca="1" si="46"/>
        <v>Palette bleue</v>
      </c>
      <c r="K302" s="95" t="str">
        <f t="shared" ca="1" si="47"/>
        <v>Paleta de color azul</v>
      </c>
      <c r="L302" s="95" t="str">
        <f t="shared" ca="1" si="48"/>
        <v>Blau-Set</v>
      </c>
      <c r="M302" s="95" t="str">
        <f t="shared" ca="1" si="49"/>
        <v>Conjunto azul</v>
      </c>
      <c r="N302" s="95" t="str">
        <f t="shared" ca="1" si="50"/>
        <v>Blauwe set</v>
      </c>
      <c r="O302" s="290">
        <v>290</v>
      </c>
      <c r="P302" s="303" t="s">
        <v>1064</v>
      </c>
      <c r="Q302" s="303" t="s">
        <v>1064</v>
      </c>
      <c r="R302" s="303" t="s">
        <v>1064</v>
      </c>
      <c r="S302" s="303" t="s">
        <v>1064</v>
      </c>
    </row>
    <row r="303" spans="1:19" ht="12.75" customHeight="1">
      <c r="A303" s="110" t="s">
        <v>643</v>
      </c>
      <c r="B303" s="96" t="s">
        <v>214</v>
      </c>
      <c r="C303" s="85"/>
      <c r="D303" s="71" t="s">
        <v>66</v>
      </c>
      <c r="E303" s="67">
        <f>ROW(HideValues!K159)</f>
        <v>159</v>
      </c>
      <c r="F303" s="67">
        <f>COLUMN(HideValues!K159)</f>
        <v>11</v>
      </c>
      <c r="G303" s="231">
        <v>159</v>
      </c>
      <c r="H303" s="231">
        <v>11</v>
      </c>
      <c r="I303" s="185" t="s">
        <v>747</v>
      </c>
      <c r="J303" s="95" t="str">
        <f t="shared" ca="1" si="46"/>
        <v>Palette mauve</v>
      </c>
      <c r="K303" s="95" t="str">
        <f t="shared" ca="1" si="47"/>
        <v>Paleta de color púrpura</v>
      </c>
      <c r="L303" s="95" t="str">
        <f t="shared" ca="1" si="48"/>
        <v>Lila-Set</v>
      </c>
      <c r="M303" s="95" t="str">
        <f t="shared" ca="1" si="49"/>
        <v>Conjunto roxo</v>
      </c>
      <c r="N303" s="95" t="str">
        <f t="shared" ca="1" si="50"/>
        <v>Paarse set</v>
      </c>
      <c r="O303" s="290">
        <v>291</v>
      </c>
      <c r="P303" s="303" t="s">
        <v>1064</v>
      </c>
      <c r="Q303" s="303" t="s">
        <v>1064</v>
      </c>
      <c r="R303" s="303" t="s">
        <v>1064</v>
      </c>
      <c r="S303" s="303" t="s">
        <v>1064</v>
      </c>
    </row>
    <row r="304" spans="1:19" ht="12.75" customHeight="1">
      <c r="A304" s="110" t="s">
        <v>643</v>
      </c>
      <c r="B304" s="96" t="s">
        <v>214</v>
      </c>
      <c r="C304" s="85"/>
      <c r="D304" s="71" t="s">
        <v>66</v>
      </c>
      <c r="E304" s="67">
        <f>ROW(HideValues!K160)</f>
        <v>160</v>
      </c>
      <c r="F304" s="67">
        <f>COLUMN(HideValues!K160)</f>
        <v>11</v>
      </c>
      <c r="G304" s="231">
        <v>160</v>
      </c>
      <c r="H304" s="231">
        <v>11</v>
      </c>
      <c r="I304" s="185" t="s">
        <v>748</v>
      </c>
      <c r="J304" s="95" t="str">
        <f t="shared" ca="1" si="46"/>
        <v>Palette orange</v>
      </c>
      <c r="K304" s="95" t="str">
        <f t="shared" ca="1" si="47"/>
        <v>Paleta de color naranja</v>
      </c>
      <c r="L304" s="95" t="str">
        <f t="shared" ca="1" si="48"/>
        <v>Orange-Set</v>
      </c>
      <c r="M304" s="95" t="str">
        <f t="shared" ca="1" si="49"/>
        <v>Conjunto laranja</v>
      </c>
      <c r="N304" s="95" t="str">
        <f t="shared" ca="1" si="50"/>
        <v>Oranje set</v>
      </c>
      <c r="O304" s="290">
        <v>292</v>
      </c>
      <c r="P304" s="303" t="s">
        <v>1064</v>
      </c>
      <c r="Q304" s="303" t="s">
        <v>1064</v>
      </c>
      <c r="R304" s="303" t="s">
        <v>1064</v>
      </c>
      <c r="S304" s="303" t="s">
        <v>1064</v>
      </c>
    </row>
    <row r="305" spans="1:19" ht="12.75" customHeight="1">
      <c r="A305" s="110" t="s">
        <v>643</v>
      </c>
      <c r="B305" s="96" t="s">
        <v>214</v>
      </c>
      <c r="C305" s="85"/>
      <c r="D305" s="71" t="s">
        <v>66</v>
      </c>
      <c r="E305" s="67">
        <f>ROW(HideValues!K161)</f>
        <v>161</v>
      </c>
      <c r="F305" s="67">
        <f>COLUMN(HideValues!K161)</f>
        <v>11</v>
      </c>
      <c r="G305" s="231">
        <v>161</v>
      </c>
      <c r="H305" s="231">
        <v>11</v>
      </c>
      <c r="I305" s="185" t="s">
        <v>749</v>
      </c>
      <c r="J305" s="95" t="str">
        <f t="shared" ca="1" si="46"/>
        <v>Palette rose</v>
      </c>
      <c r="K305" s="95" t="str">
        <f t="shared" ca="1" si="47"/>
        <v>Paleta de color rosa</v>
      </c>
      <c r="L305" s="95" t="str">
        <f t="shared" ca="1" si="48"/>
        <v>Rosa-Set</v>
      </c>
      <c r="M305" s="95" t="str">
        <f t="shared" ca="1" si="49"/>
        <v>Conjunto rosa</v>
      </c>
      <c r="N305" s="95" t="str">
        <f t="shared" ca="1" si="50"/>
        <v>Roze set</v>
      </c>
      <c r="O305" s="290">
        <v>293</v>
      </c>
      <c r="P305" s="303" t="s">
        <v>1064</v>
      </c>
      <c r="Q305" s="303" t="s">
        <v>1064</v>
      </c>
      <c r="R305" s="303" t="s">
        <v>1064</v>
      </c>
      <c r="S305" s="303" t="s">
        <v>1064</v>
      </c>
    </row>
    <row r="306" spans="1:19" ht="12.75" customHeight="1">
      <c r="A306" s="110" t="s">
        <v>643</v>
      </c>
      <c r="B306" s="96" t="s">
        <v>214</v>
      </c>
      <c r="C306" s="85"/>
      <c r="D306" s="71" t="s">
        <v>66</v>
      </c>
      <c r="E306" s="67">
        <f>ROW(HideValues!K162)</f>
        <v>162</v>
      </c>
      <c r="F306" s="67">
        <f>COLUMN(HideValues!K162)</f>
        <v>11</v>
      </c>
      <c r="G306" s="231">
        <v>162</v>
      </c>
      <c r="H306" s="231">
        <v>11</v>
      </c>
      <c r="I306" s="185" t="s">
        <v>724</v>
      </c>
      <c r="J306" s="95" t="str">
        <f t="shared" ca="1" si="46"/>
        <v>Une couleur par personne</v>
      </c>
      <c r="K306" s="95" t="str">
        <f t="shared" ca="1" si="47"/>
        <v>Un color por persona</v>
      </c>
      <c r="L306" s="95" t="str">
        <f t="shared" ca="1" si="48"/>
        <v>Eine Farbe pro Person</v>
      </c>
      <c r="M306" s="95" t="str">
        <f t="shared" ca="1" si="49"/>
        <v>Uma cor por pessoa</v>
      </c>
      <c r="N306" s="95" t="str">
        <f t="shared" ca="1" si="50"/>
        <v>Een kleur per persoon</v>
      </c>
      <c r="O306" s="290">
        <v>294</v>
      </c>
      <c r="P306" s="303" t="s">
        <v>1064</v>
      </c>
      <c r="Q306" s="303" t="s">
        <v>1064</v>
      </c>
      <c r="R306" s="303" t="s">
        <v>1064</v>
      </c>
      <c r="S306" s="303" t="s">
        <v>1064</v>
      </c>
    </row>
    <row r="307" spans="1:19" ht="12.75" customHeight="1">
      <c r="A307" s="217" t="s">
        <v>643</v>
      </c>
      <c r="B307" s="96" t="s">
        <v>214</v>
      </c>
      <c r="C307" s="85"/>
      <c r="D307" s="71" t="s">
        <v>66</v>
      </c>
      <c r="E307" s="67">
        <f>ROW(HideValues!K163)</f>
        <v>163</v>
      </c>
      <c r="F307" s="67">
        <f>COLUMN(HideValues!K163)</f>
        <v>11</v>
      </c>
      <c r="G307" s="231">
        <v>163</v>
      </c>
      <c r="H307" s="231">
        <v>11</v>
      </c>
      <c r="I307" s="95" t="s">
        <v>800</v>
      </c>
      <c r="J307" s="95" t="str">
        <f t="shared" ca="1" si="46"/>
        <v>Dépendances</v>
      </c>
      <c r="K307" s="95" t="str">
        <f t="shared" ca="1" si="47"/>
        <v>Dependencias</v>
      </c>
      <c r="L307" s="95" t="str">
        <f t="shared" ca="1" si="48"/>
        <v>Abhängigkeiten</v>
      </c>
      <c r="M307" s="95" t="str">
        <f t="shared" ca="1" si="49"/>
        <v>Dependências</v>
      </c>
      <c r="N307" s="95" t="str">
        <f t="shared" ca="1" si="50"/>
        <v>Afhankelijkheden</v>
      </c>
      <c r="O307" s="290">
        <v>295</v>
      </c>
      <c r="P307" s="303" t="s">
        <v>1064</v>
      </c>
      <c r="Q307" s="303" t="s">
        <v>1064</v>
      </c>
      <c r="R307" s="303" t="s">
        <v>1064</v>
      </c>
      <c r="S307" s="303" t="s">
        <v>1064</v>
      </c>
    </row>
    <row r="308" spans="1:19" ht="12.75" customHeight="1">
      <c r="A308" s="217" t="s">
        <v>643</v>
      </c>
      <c r="B308" s="96" t="s">
        <v>214</v>
      </c>
      <c r="C308" s="85"/>
      <c r="D308" s="71" t="s">
        <v>66</v>
      </c>
      <c r="E308" s="67">
        <f>ROW(HideValues!K164)</f>
        <v>164</v>
      </c>
      <c r="F308" s="67">
        <f>COLUMN(HideValues!K164)</f>
        <v>11</v>
      </c>
      <c r="G308" s="231">
        <v>164</v>
      </c>
      <c r="H308" s="231">
        <v>11</v>
      </c>
      <c r="I308" s="95" t="s">
        <v>801</v>
      </c>
      <c r="J308" s="95" t="str">
        <f t="shared" ca="1" si="46"/>
        <v>Débuter avec précédente</v>
      </c>
      <c r="K308" s="95" t="str">
        <f t="shared" ca="1" si="47"/>
        <v>Comenzar con anterior</v>
      </c>
      <c r="L308" s="95" t="str">
        <f t="shared" ca="1" si="48"/>
        <v>Beginnen Sie mit früheren</v>
      </c>
      <c r="M308" s="95" t="str">
        <f t="shared" ca="1" si="49"/>
        <v>Comece com anterior</v>
      </c>
      <c r="N308" s="95" t="str">
        <f t="shared" ca="1" si="50"/>
        <v>Begin met de vorige</v>
      </c>
      <c r="O308" s="290">
        <v>296</v>
      </c>
      <c r="P308" s="303" t="s">
        <v>1064</v>
      </c>
      <c r="Q308" s="303" t="s">
        <v>1064</v>
      </c>
      <c r="R308" s="303" t="s">
        <v>1064</v>
      </c>
      <c r="S308" s="303" t="s">
        <v>1064</v>
      </c>
    </row>
    <row r="309" spans="1:19" ht="12.75" customHeight="1">
      <c r="A309" s="217" t="s">
        <v>643</v>
      </c>
      <c r="B309" s="96" t="s">
        <v>214</v>
      </c>
      <c r="C309" s="85"/>
      <c r="D309" s="71" t="s">
        <v>66</v>
      </c>
      <c r="E309" s="67">
        <f>ROW(HideValues!K165)</f>
        <v>165</v>
      </c>
      <c r="F309" s="67">
        <f>COLUMN(HideValues!K165)</f>
        <v>11</v>
      </c>
      <c r="G309" s="231">
        <v>165</v>
      </c>
      <c r="H309" s="231">
        <v>11</v>
      </c>
      <c r="I309" s="95" t="s">
        <v>802</v>
      </c>
      <c r="J309" s="95" t="str">
        <f t="shared" ca="1" si="46"/>
        <v>Débuter après précédente</v>
      </c>
      <c r="K309" s="95" t="str">
        <f t="shared" ca="1" si="47"/>
        <v>Comenzar después de la anterior</v>
      </c>
      <c r="L309" s="95" t="str">
        <f t="shared" ca="1" si="48"/>
        <v>Starten Sie nach vorheriger</v>
      </c>
      <c r="M309" s="95" t="str">
        <f t="shared" ca="1" si="49"/>
        <v>Iniciar após anterior</v>
      </c>
      <c r="N309" s="95" t="str">
        <f t="shared" ca="1" si="50"/>
        <v>Begin na de vorige</v>
      </c>
      <c r="O309" s="290">
        <v>297</v>
      </c>
      <c r="P309" s="303" t="s">
        <v>1064</v>
      </c>
      <c r="Q309" s="303" t="s">
        <v>1064</v>
      </c>
      <c r="R309" s="303" t="s">
        <v>1064</v>
      </c>
      <c r="S309" s="303" t="s">
        <v>1064</v>
      </c>
    </row>
    <row r="310" spans="1:19" ht="12.75" customHeight="1">
      <c r="A310" s="217" t="s">
        <v>643</v>
      </c>
      <c r="B310" s="96" t="s">
        <v>214</v>
      </c>
      <c r="C310" s="85"/>
      <c r="D310" s="71" t="s">
        <v>66</v>
      </c>
      <c r="E310" s="67">
        <f>ROW(HideValues!K166)</f>
        <v>166</v>
      </c>
      <c r="F310" s="67">
        <f>COLUMN(HideValues!K166)</f>
        <v>11</v>
      </c>
      <c r="G310" s="231">
        <v>166</v>
      </c>
      <c r="H310" s="231">
        <v>11</v>
      </c>
      <c r="I310" s="95" t="s">
        <v>803</v>
      </c>
      <c r="J310" s="95" t="str">
        <f t="shared" ca="1" si="46"/>
        <v>Débuter avec suivante</v>
      </c>
      <c r="K310" s="95" t="str">
        <f t="shared" ca="1" si="47"/>
        <v>Comenzar con la siguiente</v>
      </c>
      <c r="L310" s="95" t="str">
        <f t="shared" ca="1" si="48"/>
        <v>Beginnen Sie mit dem nächsten</v>
      </c>
      <c r="M310" s="95" t="str">
        <f t="shared" ca="1" si="49"/>
        <v>Comece com o próximo</v>
      </c>
      <c r="N310" s="95" t="str">
        <f t="shared" ca="1" si="50"/>
        <v>Begin met de volgende</v>
      </c>
      <c r="O310" s="290">
        <v>298</v>
      </c>
      <c r="P310" s="303" t="s">
        <v>1064</v>
      </c>
      <c r="Q310" s="303" t="s">
        <v>1064</v>
      </c>
      <c r="R310" s="303" t="s">
        <v>1064</v>
      </c>
      <c r="S310" s="303" t="s">
        <v>1064</v>
      </c>
    </row>
    <row r="311" spans="1:19" ht="12.75" customHeight="1">
      <c r="A311" s="217" t="s">
        <v>643</v>
      </c>
      <c r="B311" s="96" t="s">
        <v>214</v>
      </c>
      <c r="C311" s="85"/>
      <c r="D311" s="71" t="s">
        <v>66</v>
      </c>
      <c r="E311" s="67">
        <f>ROW(HideValues!K167)</f>
        <v>167</v>
      </c>
      <c r="F311" s="67">
        <f>COLUMN(HideValues!K167)</f>
        <v>11</v>
      </c>
      <c r="G311" s="231">
        <v>167</v>
      </c>
      <c r="H311" s="231">
        <v>11</v>
      </c>
      <c r="I311" s="95" t="s">
        <v>804</v>
      </c>
      <c r="J311" s="95" t="str">
        <f t="shared" ca="1" si="46"/>
        <v>Débuter après suivante</v>
      </c>
      <c r="K311" s="95" t="str">
        <f t="shared" ca="1" si="47"/>
        <v>Comenzar después de la siguiente</v>
      </c>
      <c r="L311" s="95" t="str">
        <f t="shared" ca="1" si="48"/>
        <v>Starten Sie nach dem nächsten</v>
      </c>
      <c r="M311" s="95" t="str">
        <f t="shared" ca="1" si="49"/>
        <v>Comece após o próximo</v>
      </c>
      <c r="N311" s="95" t="str">
        <f t="shared" ca="1" si="50"/>
        <v>Begin na de volgende</v>
      </c>
      <c r="O311" s="290">
        <v>299</v>
      </c>
      <c r="P311" s="303" t="s">
        <v>1064</v>
      </c>
      <c r="Q311" s="303" t="s">
        <v>1064</v>
      </c>
      <c r="R311" s="303" t="s">
        <v>1064</v>
      </c>
      <c r="S311" s="303" t="s">
        <v>1064</v>
      </c>
    </row>
    <row r="312" spans="1:19" ht="12.75" customHeight="1">
      <c r="A312" s="217" t="s">
        <v>643</v>
      </c>
      <c r="B312" s="96" t="s">
        <v>214</v>
      </c>
      <c r="C312" s="85"/>
      <c r="D312" s="71" t="s">
        <v>66</v>
      </c>
      <c r="E312" s="67">
        <f>ROW(HideValues!K168)</f>
        <v>168</v>
      </c>
      <c r="F312" s="67">
        <f>COLUMN(HideValues!K168)</f>
        <v>11</v>
      </c>
      <c r="G312" s="231">
        <v>168</v>
      </c>
      <c r="H312" s="231">
        <v>11</v>
      </c>
      <c r="I312" s="95" t="s">
        <v>805</v>
      </c>
      <c r="J312" s="95" t="str">
        <f t="shared" ca="1" si="46"/>
        <v>Dépendance personnalisée</v>
      </c>
      <c r="K312" s="95" t="str">
        <f t="shared" ca="1" si="47"/>
        <v>Dependencia personalizada</v>
      </c>
      <c r="L312" s="95" t="str">
        <f t="shared" ca="1" si="48"/>
        <v>Kundenspezifische Abhängigkeit</v>
      </c>
      <c r="M312" s="95" t="str">
        <f t="shared" ca="1" si="49"/>
        <v>Dependência personalizada</v>
      </c>
      <c r="N312" s="95" t="str">
        <f t="shared" ca="1" si="50"/>
        <v>Aangepaste afhankelijkheid</v>
      </c>
      <c r="O312" s="290">
        <v>300</v>
      </c>
      <c r="P312" s="303" t="s">
        <v>1064</v>
      </c>
      <c r="Q312" s="303" t="s">
        <v>1064</v>
      </c>
      <c r="R312" s="303" t="s">
        <v>1064</v>
      </c>
      <c r="S312" s="303" t="s">
        <v>1064</v>
      </c>
    </row>
    <row r="313" spans="1:19" ht="12.75" customHeight="1">
      <c r="A313" s="217" t="s">
        <v>643</v>
      </c>
      <c r="B313" s="96" t="s">
        <v>214</v>
      </c>
      <c r="C313" s="85"/>
      <c r="D313" s="71" t="s">
        <v>66</v>
      </c>
      <c r="E313" s="67">
        <f>ROW(HideValues!K169)</f>
        <v>169</v>
      </c>
      <c r="F313" s="67">
        <f>COLUMN(HideValues!K169)</f>
        <v>11</v>
      </c>
      <c r="G313" s="231">
        <v>169</v>
      </c>
      <c r="H313" s="231">
        <v>11</v>
      </c>
      <c r="I313" s="95" t="s">
        <v>816</v>
      </c>
      <c r="J313" s="95" t="str">
        <f t="shared" ca="1" si="46"/>
        <v>Retroplanning avec précédente</v>
      </c>
      <c r="K313" s="95" t="str">
        <f t="shared" ca="1" si="47"/>
        <v>Retroplaneación con anterior</v>
      </c>
      <c r="L313" s="95" t="str">
        <f t="shared" ca="1" si="48"/>
        <v>Retroplanning mit früheren</v>
      </c>
      <c r="M313" s="95" t="str">
        <f t="shared" ca="1" si="49"/>
        <v>Planejar novamente com anterior</v>
      </c>
      <c r="N313" s="95" t="str">
        <f t="shared" ca="1" si="50"/>
        <v>Retroplanning met vorige</v>
      </c>
      <c r="O313" s="290">
        <v>301</v>
      </c>
      <c r="P313" s="303" t="s">
        <v>1064</v>
      </c>
      <c r="Q313" s="303" t="s">
        <v>1064</v>
      </c>
      <c r="R313" s="303" t="s">
        <v>1064</v>
      </c>
      <c r="S313" s="303" t="s">
        <v>1064</v>
      </c>
    </row>
    <row r="314" spans="1:19" ht="12.75" customHeight="1">
      <c r="A314" s="217" t="s">
        <v>643</v>
      </c>
      <c r="B314" s="96" t="s">
        <v>214</v>
      </c>
      <c r="C314" s="85"/>
      <c r="D314" s="71" t="s">
        <v>66</v>
      </c>
      <c r="E314" s="67">
        <f>ROW(HideValues!K170)</f>
        <v>170</v>
      </c>
      <c r="F314" s="67">
        <f>COLUMN(HideValues!K170)</f>
        <v>11</v>
      </c>
      <c r="G314" s="231">
        <v>170</v>
      </c>
      <c r="H314" s="231">
        <v>11</v>
      </c>
      <c r="I314" s="95" t="s">
        <v>817</v>
      </c>
      <c r="J314" s="95" t="str">
        <f t="shared" ca="1" si="46"/>
        <v>Retroplanning avec suivante</v>
      </c>
      <c r="K314" s="95" t="str">
        <f t="shared" ca="1" si="47"/>
        <v>Retroplaneación con siguiente</v>
      </c>
      <c r="L314" s="95" t="str">
        <f t="shared" ca="1" si="48"/>
        <v>Retroplanning mit dem nächsten</v>
      </c>
      <c r="M314" s="95" t="str">
        <f t="shared" ca="1" si="49"/>
        <v>Planejar novamente com o próximo</v>
      </c>
      <c r="N314" s="95" t="str">
        <f t="shared" ca="1" si="50"/>
        <v>Retroplanning met volgende</v>
      </c>
      <c r="O314" s="290">
        <v>302</v>
      </c>
      <c r="P314" s="303" t="s">
        <v>1064</v>
      </c>
      <c r="Q314" s="303" t="s">
        <v>1064</v>
      </c>
      <c r="R314" s="303" t="s">
        <v>1064</v>
      </c>
      <c r="S314" s="303" t="s">
        <v>1064</v>
      </c>
    </row>
    <row r="315" spans="1:19" ht="12.75" customHeight="1">
      <c r="A315" s="217" t="s">
        <v>643</v>
      </c>
      <c r="B315" s="96" t="s">
        <v>214</v>
      </c>
      <c r="C315" s="85"/>
      <c r="D315" s="71" t="s">
        <v>66</v>
      </c>
      <c r="E315" s="67">
        <f>ROW(HideValues!K171)</f>
        <v>171</v>
      </c>
      <c r="F315" s="67">
        <f>COLUMN(HideValues!K171)</f>
        <v>11</v>
      </c>
      <c r="G315" s="231">
        <v>171</v>
      </c>
      <c r="H315" s="231">
        <v>11</v>
      </c>
      <c r="I315" s="95" t="s">
        <v>519</v>
      </c>
      <c r="J315" s="95" t="str">
        <f t="shared" ca="1" si="46"/>
        <v>Aide</v>
      </c>
      <c r="K315" s="95" t="str">
        <f t="shared" ca="1" si="47"/>
        <v>Ayuda</v>
      </c>
      <c r="L315" s="95" t="str">
        <f t="shared" ca="1" si="48"/>
        <v>Hilfe</v>
      </c>
      <c r="M315" s="95" t="str">
        <f t="shared" ca="1" si="49"/>
        <v>Ajuda</v>
      </c>
      <c r="N315" s="95" t="str">
        <f t="shared" ca="1" si="50"/>
        <v>Help</v>
      </c>
      <c r="O315" s="290">
        <v>303</v>
      </c>
      <c r="P315" s="303" t="s">
        <v>1064</v>
      </c>
      <c r="Q315" s="303" t="s">
        <v>1064</v>
      </c>
      <c r="R315" s="303" t="s">
        <v>1064</v>
      </c>
      <c r="S315" s="303" t="s">
        <v>1064</v>
      </c>
    </row>
    <row r="316" spans="1:19" ht="12.75" customHeight="1">
      <c r="A316" s="217" t="s">
        <v>643</v>
      </c>
      <c r="B316" s="96" t="s">
        <v>214</v>
      </c>
      <c r="C316" s="85"/>
      <c r="D316" s="71" t="s">
        <v>66</v>
      </c>
      <c r="E316" s="67">
        <f>ROW(HideValues!B73)</f>
        <v>73</v>
      </c>
      <c r="F316" s="67">
        <f>COLUMN(HideValues!B73)</f>
        <v>2</v>
      </c>
      <c r="G316" s="231">
        <v>73</v>
      </c>
      <c r="H316" s="231">
        <v>2</v>
      </c>
      <c r="I316" s="97" t="s">
        <v>869</v>
      </c>
      <c r="J316" s="97" t="s">
        <v>871</v>
      </c>
      <c r="K316" s="291" t="s">
        <v>874</v>
      </c>
      <c r="L316" s="293" t="s">
        <v>1549</v>
      </c>
      <c r="M316" s="291" t="s">
        <v>1235</v>
      </c>
      <c r="N316" s="291" t="s">
        <v>1424</v>
      </c>
      <c r="O316" s="303">
        <v>304</v>
      </c>
      <c r="P316" s="303" t="s">
        <v>1064</v>
      </c>
      <c r="Q316" s="303" t="s">
        <v>1064</v>
      </c>
      <c r="R316" s="303" t="s">
        <v>1064</v>
      </c>
      <c r="S316" s="303" t="s">
        <v>1064</v>
      </c>
    </row>
    <row r="317" spans="1:19" ht="25.5" customHeight="1">
      <c r="A317" s="217" t="s">
        <v>643</v>
      </c>
      <c r="B317" s="96" t="s">
        <v>214</v>
      </c>
      <c r="C317" s="85"/>
      <c r="D317" s="71" t="s">
        <v>66</v>
      </c>
      <c r="E317" s="67">
        <f>ROW(HideValues!B74)</f>
        <v>74</v>
      </c>
      <c r="F317" s="67">
        <f>COLUMN(HideValues!B74)</f>
        <v>2</v>
      </c>
      <c r="G317" s="231">
        <v>74</v>
      </c>
      <c r="H317" s="231">
        <v>2</v>
      </c>
      <c r="I317" s="97" t="s">
        <v>870</v>
      </c>
      <c r="J317" s="97" t="s">
        <v>872</v>
      </c>
      <c r="K317" s="291" t="s">
        <v>873</v>
      </c>
      <c r="L317" s="291" t="s">
        <v>875</v>
      </c>
      <c r="M317" s="291" t="s">
        <v>1236</v>
      </c>
      <c r="N317" s="291" t="s">
        <v>1425</v>
      </c>
      <c r="O317" s="303">
        <v>305</v>
      </c>
      <c r="P317" s="303" t="s">
        <v>1064</v>
      </c>
      <c r="Q317" s="303" t="s">
        <v>1064</v>
      </c>
      <c r="R317" s="303" t="s">
        <v>1064</v>
      </c>
      <c r="S317" s="303" t="s">
        <v>1064</v>
      </c>
    </row>
    <row r="318" spans="1:19" ht="12.75" customHeight="1">
      <c r="A318" s="217" t="s">
        <v>643</v>
      </c>
      <c r="B318" s="96" t="s">
        <v>214</v>
      </c>
      <c r="C318" s="85"/>
      <c r="D318" s="71" t="s">
        <v>66</v>
      </c>
      <c r="E318" s="67">
        <f>ROW(HideValues!K172)</f>
        <v>172</v>
      </c>
      <c r="F318" s="67">
        <f>COLUMN(HideValues!K172)</f>
        <v>11</v>
      </c>
      <c r="G318" s="231">
        <v>172</v>
      </c>
      <c r="H318" s="231">
        <v>11</v>
      </c>
      <c r="I318" s="77" t="s">
        <v>899</v>
      </c>
      <c r="J318" s="97" t="s">
        <v>897</v>
      </c>
      <c r="K318" s="291" t="s">
        <v>898</v>
      </c>
      <c r="L318" s="293" t="s">
        <v>1550</v>
      </c>
      <c r="M318" s="291" t="s">
        <v>1237</v>
      </c>
      <c r="N318" s="291" t="s">
        <v>1426</v>
      </c>
      <c r="O318" s="303">
        <v>306</v>
      </c>
      <c r="P318" s="303" t="s">
        <v>1064</v>
      </c>
      <c r="Q318" s="303" t="s">
        <v>1064</v>
      </c>
      <c r="R318" s="303" t="s">
        <v>1064</v>
      </c>
      <c r="S318" s="303" t="s">
        <v>1064</v>
      </c>
    </row>
    <row r="319" spans="1:19" ht="12.75" customHeight="1">
      <c r="A319" s="217" t="s">
        <v>643</v>
      </c>
      <c r="B319" s="96" t="s">
        <v>214</v>
      </c>
      <c r="C319" s="85"/>
      <c r="D319" s="71" t="s">
        <v>66</v>
      </c>
      <c r="E319" s="67">
        <f>ROW(HideValues!K173)</f>
        <v>173</v>
      </c>
      <c r="F319" s="67">
        <f>COLUMN(HideValues!K173)</f>
        <v>11</v>
      </c>
      <c r="G319" s="231">
        <v>173</v>
      </c>
      <c r="H319" s="231">
        <v>11</v>
      </c>
      <c r="I319" s="226" t="s">
        <v>879</v>
      </c>
      <c r="J319" s="95" t="s">
        <v>880</v>
      </c>
      <c r="K319" s="95" t="str">
        <f ca="1">INDIRECT(ADDRESS(MATCH(I319,$I$20:$I$319,0)+19,11))</f>
        <v>Línea roja</v>
      </c>
      <c r="L319" s="95" t="str">
        <f ca="1">INDIRECT(ADDRESS(MATCH(I319,$I$20:$I$330,0)+19,12))</f>
        <v>Rote Linie</v>
      </c>
      <c r="M319" s="95" t="str">
        <f ca="1">INDIRECT(ADDRESS(MATCH(I319,$I$20:$I$500,0)+19,13))</f>
        <v>Linha Vermelha</v>
      </c>
      <c r="N319" s="95" t="str">
        <f ca="1">INDIRECT(ADDRESS(MATCH(I319,$I$20:$I$500,0)+19,14))</f>
        <v>Rode lijn</v>
      </c>
      <c r="O319" s="290">
        <v>307</v>
      </c>
      <c r="P319" s="303" t="s">
        <v>1064</v>
      </c>
      <c r="Q319" s="303" t="s">
        <v>1064</v>
      </c>
      <c r="R319" s="303" t="s">
        <v>1064</v>
      </c>
      <c r="S319" s="303" t="s">
        <v>1064</v>
      </c>
    </row>
    <row r="320" spans="1:19" ht="12.75" customHeight="1">
      <c r="A320" s="217" t="s">
        <v>887</v>
      </c>
      <c r="B320" s="96" t="s">
        <v>214</v>
      </c>
      <c r="C320" s="85"/>
      <c r="D320" s="71" t="s">
        <v>66</v>
      </c>
      <c r="E320" s="67">
        <f>ROW(HideValues!C155)</f>
        <v>155</v>
      </c>
      <c r="F320" s="67">
        <f>COLUMN(HideValues!C155)</f>
        <v>3</v>
      </c>
      <c r="G320" s="231">
        <v>155</v>
      </c>
      <c r="H320" s="231">
        <v>3</v>
      </c>
      <c r="I320" s="230" t="s">
        <v>889</v>
      </c>
      <c r="J320" s="97" t="s">
        <v>888</v>
      </c>
      <c r="K320" s="303" t="s">
        <v>1599</v>
      </c>
      <c r="L320" s="293" t="s">
        <v>1551</v>
      </c>
      <c r="M320" s="291" t="s">
        <v>1238</v>
      </c>
      <c r="N320" s="291" t="s">
        <v>1427</v>
      </c>
      <c r="O320" s="303">
        <v>308</v>
      </c>
      <c r="P320" s="303" t="s">
        <v>1064</v>
      </c>
      <c r="Q320" s="303" t="s">
        <v>1064</v>
      </c>
      <c r="R320" s="303" t="s">
        <v>1064</v>
      </c>
      <c r="S320" s="303" t="s">
        <v>1064</v>
      </c>
    </row>
    <row r="321" spans="1:19" ht="12.75" customHeight="1">
      <c r="A321" s="217" t="s">
        <v>887</v>
      </c>
      <c r="B321" s="96" t="s">
        <v>214</v>
      </c>
      <c r="C321" s="85"/>
      <c r="D321" s="71" t="s">
        <v>66</v>
      </c>
      <c r="E321" s="67">
        <f>ROW(HideValues!C156)</f>
        <v>156</v>
      </c>
      <c r="F321" s="67">
        <f>COLUMN(HideValues!C156)</f>
        <v>3</v>
      </c>
      <c r="G321" s="231">
        <v>156</v>
      </c>
      <c r="H321" s="231">
        <v>3</v>
      </c>
      <c r="I321" s="230" t="s">
        <v>890</v>
      </c>
      <c r="J321" s="97" t="s">
        <v>891</v>
      </c>
      <c r="K321" s="291" t="s">
        <v>893</v>
      </c>
      <c r="L321" s="291" t="s">
        <v>892</v>
      </c>
      <c r="M321" s="291" t="s">
        <v>1239</v>
      </c>
      <c r="N321" s="291" t="s">
        <v>1428</v>
      </c>
      <c r="O321" s="303">
        <v>309</v>
      </c>
      <c r="P321" s="303" t="s">
        <v>1064</v>
      </c>
      <c r="Q321" s="303" t="s">
        <v>1064</v>
      </c>
      <c r="R321" s="303" t="s">
        <v>1064</v>
      </c>
      <c r="S321" s="303" t="s">
        <v>1064</v>
      </c>
    </row>
    <row r="322" spans="1:19" ht="12.75" customHeight="1">
      <c r="A322" s="217" t="s">
        <v>887</v>
      </c>
      <c r="B322" s="96" t="s">
        <v>214</v>
      </c>
      <c r="C322" s="85"/>
      <c r="D322" s="71" t="s">
        <v>66</v>
      </c>
      <c r="E322" s="67">
        <f>ROW(HideValues!C157)</f>
        <v>157</v>
      </c>
      <c r="F322" s="67">
        <f>COLUMN(HideValues!C157)</f>
        <v>3</v>
      </c>
      <c r="G322" s="231">
        <v>157</v>
      </c>
      <c r="H322" s="231">
        <v>3</v>
      </c>
      <c r="I322" s="222" t="s">
        <v>828</v>
      </c>
      <c r="J322" s="95" t="str">
        <f ca="1">INDIRECT(ADDRESS(MATCH(I322,$I$20:$I$500,0)+19,10))</f>
        <v>Annuler</v>
      </c>
      <c r="K322" s="95" t="str">
        <f ca="1">INDIRECT(ADDRESS(MATCH(I322,$I$20:$I$500,0)+19,11))</f>
        <v>Cancelar</v>
      </c>
      <c r="L322" s="95" t="str">
        <f ca="1">INDIRECT(ADDRESS(MATCH(I322,$I$20:$I$500,0)+19,12))</f>
        <v>Abbrechen</v>
      </c>
      <c r="M322" s="95" t="str">
        <f ca="1">INDIRECT(ADDRESS(MATCH(I322,$I$20:$I$500,0)+19,13))</f>
        <v>Cancelar</v>
      </c>
      <c r="N322" s="95" t="str">
        <f ca="1">INDIRECT(ADDRESS(MATCH(I322,$I$20:$I$500,0)+19,14))</f>
        <v>Annuleren</v>
      </c>
      <c r="O322" s="290">
        <v>310</v>
      </c>
      <c r="P322" s="303" t="s">
        <v>1064</v>
      </c>
      <c r="Q322" s="303" t="s">
        <v>1064</v>
      </c>
      <c r="R322" s="303" t="s">
        <v>1064</v>
      </c>
      <c r="S322" s="303" t="s">
        <v>1064</v>
      </c>
    </row>
    <row r="323" spans="1:19" ht="12.75" customHeight="1">
      <c r="A323" s="217" t="s">
        <v>643</v>
      </c>
      <c r="B323" s="96" t="s">
        <v>214</v>
      </c>
      <c r="C323" s="85"/>
      <c r="D323" s="71" t="s">
        <v>66</v>
      </c>
      <c r="E323" s="67">
        <f>ROW(HideValues!K174)</f>
        <v>174</v>
      </c>
      <c r="F323" s="67">
        <f>COLUMN(HideValues!K174)</f>
        <v>11</v>
      </c>
      <c r="G323" s="231">
        <v>174</v>
      </c>
      <c r="H323" s="231">
        <v>11</v>
      </c>
      <c r="I323" s="85" t="s">
        <v>904</v>
      </c>
      <c r="J323" s="97" t="s">
        <v>914</v>
      </c>
      <c r="K323" s="303" t="s">
        <v>1600</v>
      </c>
      <c r="L323" s="293" t="s">
        <v>1552</v>
      </c>
      <c r="M323" s="291" t="s">
        <v>1240</v>
      </c>
      <c r="N323" s="291" t="s">
        <v>1429</v>
      </c>
      <c r="O323" s="303">
        <v>311</v>
      </c>
      <c r="P323" s="303" t="s">
        <v>1064</v>
      </c>
      <c r="Q323" s="303" t="s">
        <v>1064</v>
      </c>
      <c r="R323" s="303" t="s">
        <v>1064</v>
      </c>
      <c r="S323" s="303" t="s">
        <v>1064</v>
      </c>
    </row>
    <row r="324" spans="1:19" ht="12.75" customHeight="1">
      <c r="A324" s="217" t="s">
        <v>643</v>
      </c>
      <c r="B324" s="96" t="s">
        <v>214</v>
      </c>
      <c r="C324" s="85"/>
      <c r="D324" s="71" t="s">
        <v>66</v>
      </c>
      <c r="E324" s="67">
        <f>ROW(HideValues!K175)</f>
        <v>175</v>
      </c>
      <c r="F324" s="67">
        <f>COLUMN(HideValues!K175)</f>
        <v>11</v>
      </c>
      <c r="G324" s="231">
        <v>175</v>
      </c>
      <c r="H324" s="231">
        <v>11</v>
      </c>
      <c r="I324" s="85" t="s">
        <v>906</v>
      </c>
      <c r="J324" s="97" t="s">
        <v>915</v>
      </c>
      <c r="K324" s="291" t="s">
        <v>924</v>
      </c>
      <c r="L324" s="293" t="s">
        <v>1553</v>
      </c>
      <c r="M324" s="291" t="s">
        <v>1241</v>
      </c>
      <c r="N324" s="291" t="s">
        <v>1430</v>
      </c>
      <c r="O324" s="303">
        <v>312</v>
      </c>
      <c r="P324" s="303" t="s">
        <v>1064</v>
      </c>
      <c r="Q324" s="303" t="s">
        <v>1064</v>
      </c>
      <c r="R324" s="303" t="s">
        <v>1064</v>
      </c>
      <c r="S324" s="303" t="s">
        <v>1064</v>
      </c>
    </row>
    <row r="325" spans="1:19" ht="12.75" customHeight="1">
      <c r="A325" s="217" t="s">
        <v>643</v>
      </c>
      <c r="B325" s="96" t="s">
        <v>214</v>
      </c>
      <c r="C325" s="85"/>
      <c r="D325" s="71" t="s">
        <v>66</v>
      </c>
      <c r="E325" s="67">
        <f>ROW(HideValues!K176)</f>
        <v>176</v>
      </c>
      <c r="F325" s="67">
        <f>COLUMN(HideValues!K176)</f>
        <v>11</v>
      </c>
      <c r="G325" s="231">
        <v>176</v>
      </c>
      <c r="H325" s="231">
        <v>11</v>
      </c>
      <c r="I325" s="85" t="s">
        <v>907</v>
      </c>
      <c r="J325" s="97" t="s">
        <v>920</v>
      </c>
      <c r="K325" s="303" t="s">
        <v>1601</v>
      </c>
      <c r="L325" s="293" t="s">
        <v>1554</v>
      </c>
      <c r="M325" s="291" t="s">
        <v>1242</v>
      </c>
      <c r="N325" s="291" t="s">
        <v>1431</v>
      </c>
      <c r="O325" s="303">
        <v>313</v>
      </c>
      <c r="P325" s="303" t="s">
        <v>1064</v>
      </c>
      <c r="Q325" s="303" t="s">
        <v>1064</v>
      </c>
      <c r="R325" s="303" t="s">
        <v>1064</v>
      </c>
      <c r="S325" s="303" t="s">
        <v>1064</v>
      </c>
    </row>
    <row r="326" spans="1:19" ht="12.75" customHeight="1">
      <c r="A326" s="217" t="s">
        <v>643</v>
      </c>
      <c r="B326" s="96" t="s">
        <v>214</v>
      </c>
      <c r="C326" s="85"/>
      <c r="D326" s="71" t="s">
        <v>66</v>
      </c>
      <c r="E326" s="67">
        <f>ROW(HideValues!K177)</f>
        <v>177</v>
      </c>
      <c r="F326" s="67">
        <f>COLUMN(HideValues!K177)</f>
        <v>11</v>
      </c>
      <c r="G326" s="231">
        <v>177</v>
      </c>
      <c r="H326" s="231">
        <v>11</v>
      </c>
      <c r="I326" s="85" t="s">
        <v>908</v>
      </c>
      <c r="J326" s="97" t="s">
        <v>917</v>
      </c>
      <c r="K326" s="303" t="s">
        <v>1602</v>
      </c>
      <c r="L326" s="293" t="s">
        <v>1555</v>
      </c>
      <c r="M326" s="291" t="s">
        <v>1243</v>
      </c>
      <c r="N326" s="291" t="s">
        <v>1432</v>
      </c>
      <c r="O326" s="303">
        <v>314</v>
      </c>
      <c r="P326" s="303" t="s">
        <v>1064</v>
      </c>
      <c r="Q326" s="303" t="s">
        <v>1064</v>
      </c>
      <c r="R326" s="303" t="s">
        <v>1064</v>
      </c>
      <c r="S326" s="303" t="s">
        <v>1064</v>
      </c>
    </row>
    <row r="327" spans="1:19" ht="12.75" customHeight="1">
      <c r="A327" s="217" t="s">
        <v>643</v>
      </c>
      <c r="B327" s="96" t="s">
        <v>214</v>
      </c>
      <c r="C327" s="85"/>
      <c r="D327" s="71" t="s">
        <v>66</v>
      </c>
      <c r="E327" s="67">
        <f>ROW(HideValues!K178)</f>
        <v>178</v>
      </c>
      <c r="F327" s="67">
        <f>COLUMN(HideValues!K178)</f>
        <v>11</v>
      </c>
      <c r="G327" s="231">
        <v>178</v>
      </c>
      <c r="H327" s="231">
        <v>11</v>
      </c>
      <c r="I327" s="85" t="s">
        <v>909</v>
      </c>
      <c r="J327" s="85" t="s">
        <v>934</v>
      </c>
      <c r="K327" s="291" t="s">
        <v>921</v>
      </c>
      <c r="L327" s="293" t="s">
        <v>1556</v>
      </c>
      <c r="M327" s="291" t="s">
        <v>1244</v>
      </c>
      <c r="N327" s="291" t="s">
        <v>1433</v>
      </c>
      <c r="O327" s="303">
        <v>315</v>
      </c>
      <c r="P327" s="303" t="s">
        <v>1064</v>
      </c>
      <c r="Q327" s="303" t="s">
        <v>1064</v>
      </c>
      <c r="R327" s="303" t="s">
        <v>1064</v>
      </c>
      <c r="S327" s="303" t="s">
        <v>1064</v>
      </c>
    </row>
    <row r="328" spans="1:19" ht="12.75" customHeight="1">
      <c r="A328" s="217" t="s">
        <v>643</v>
      </c>
      <c r="B328" s="96" t="s">
        <v>214</v>
      </c>
      <c r="C328" s="85"/>
      <c r="D328" s="71" t="s">
        <v>66</v>
      </c>
      <c r="E328" s="67">
        <f>ROW(HideValues!K179)</f>
        <v>179</v>
      </c>
      <c r="F328" s="67">
        <f>COLUMN(HideValues!K179)</f>
        <v>11</v>
      </c>
      <c r="G328" s="231">
        <v>179</v>
      </c>
      <c r="H328" s="231">
        <v>11</v>
      </c>
      <c r="I328" s="85" t="s">
        <v>910</v>
      </c>
      <c r="J328" s="97" t="s">
        <v>916</v>
      </c>
      <c r="K328" s="303" t="s">
        <v>1603</v>
      </c>
      <c r="L328" s="293" t="s">
        <v>1557</v>
      </c>
      <c r="M328" s="291" t="s">
        <v>1245</v>
      </c>
      <c r="N328" s="291" t="s">
        <v>1434</v>
      </c>
      <c r="O328" s="303">
        <v>316</v>
      </c>
      <c r="P328" s="303" t="s">
        <v>1064</v>
      </c>
      <c r="Q328" s="303" t="s">
        <v>1064</v>
      </c>
      <c r="R328" s="303" t="s">
        <v>1064</v>
      </c>
      <c r="S328" s="303" t="s">
        <v>1064</v>
      </c>
    </row>
    <row r="329" spans="1:19" ht="12.75" customHeight="1">
      <c r="A329" s="217" t="s">
        <v>643</v>
      </c>
      <c r="B329" s="96" t="s">
        <v>214</v>
      </c>
      <c r="C329" s="85"/>
      <c r="D329" s="71" t="s">
        <v>66</v>
      </c>
      <c r="E329" s="67">
        <f>ROW(HideValues!K180)</f>
        <v>180</v>
      </c>
      <c r="F329" s="67">
        <f>COLUMN(HideValues!K180)</f>
        <v>11</v>
      </c>
      <c r="G329" s="231">
        <v>180</v>
      </c>
      <c r="H329" s="231">
        <v>11</v>
      </c>
      <c r="I329" s="85" t="s">
        <v>911</v>
      </c>
      <c r="J329" s="97" t="s">
        <v>918</v>
      </c>
      <c r="K329" s="291" t="s">
        <v>923</v>
      </c>
      <c r="L329" s="293" t="s">
        <v>1558</v>
      </c>
      <c r="M329" s="291" t="s">
        <v>1246</v>
      </c>
      <c r="N329" s="291" t="s">
        <v>1435</v>
      </c>
      <c r="O329" s="303">
        <v>317</v>
      </c>
      <c r="P329" s="303" t="s">
        <v>1064</v>
      </c>
      <c r="Q329" s="303" t="s">
        <v>1064</v>
      </c>
      <c r="R329" s="303" t="s">
        <v>1064</v>
      </c>
      <c r="S329" s="303" t="s">
        <v>1064</v>
      </c>
    </row>
    <row r="330" spans="1:19" ht="12.75" customHeight="1">
      <c r="A330" s="217" t="s">
        <v>643</v>
      </c>
      <c r="B330" s="96" t="s">
        <v>214</v>
      </c>
      <c r="C330" s="85"/>
      <c r="D330" s="71" t="s">
        <v>66</v>
      </c>
      <c r="E330" s="67">
        <f>ROW(HideValues!K181)</f>
        <v>181</v>
      </c>
      <c r="F330" s="67">
        <f>COLUMN(HideValues!K181)</f>
        <v>11</v>
      </c>
      <c r="G330" s="231">
        <v>181</v>
      </c>
      <c r="H330" s="231">
        <v>11</v>
      </c>
      <c r="I330" s="85" t="s">
        <v>913</v>
      </c>
      <c r="J330" s="97" t="s">
        <v>919</v>
      </c>
      <c r="K330" s="291" t="s">
        <v>922</v>
      </c>
      <c r="L330" s="293" t="s">
        <v>1559</v>
      </c>
      <c r="M330" s="291" t="s">
        <v>1247</v>
      </c>
      <c r="N330" s="291" t="s">
        <v>1436</v>
      </c>
      <c r="O330" s="303">
        <v>318</v>
      </c>
      <c r="P330" s="303" t="s">
        <v>1064</v>
      </c>
      <c r="Q330" s="303" t="s">
        <v>1064</v>
      </c>
      <c r="R330" s="303" t="s">
        <v>1064</v>
      </c>
      <c r="S330" s="303" t="s">
        <v>1064</v>
      </c>
    </row>
    <row r="331" spans="1:19" ht="12.75" customHeight="1">
      <c r="A331" s="217" t="s">
        <v>643</v>
      </c>
      <c r="B331" s="96" t="s">
        <v>214</v>
      </c>
      <c r="C331" s="85"/>
      <c r="D331" s="71" t="s">
        <v>66</v>
      </c>
      <c r="E331" s="67">
        <f>ROW(HideValues!K182)</f>
        <v>182</v>
      </c>
      <c r="F331" s="67">
        <f>COLUMN(HideValues!K182)</f>
        <v>11</v>
      </c>
      <c r="G331" s="231">
        <v>182</v>
      </c>
      <c r="H331" s="231">
        <v>11</v>
      </c>
      <c r="I331" s="85" t="s">
        <v>926</v>
      </c>
      <c r="J331" s="97" t="s">
        <v>927</v>
      </c>
      <c r="K331" s="291" t="s">
        <v>928</v>
      </c>
      <c r="L331" s="291" t="s">
        <v>902</v>
      </c>
      <c r="M331" s="291" t="s">
        <v>928</v>
      </c>
      <c r="N331" s="291" t="s">
        <v>926</v>
      </c>
      <c r="O331" s="303">
        <v>319</v>
      </c>
      <c r="P331" s="303" t="s">
        <v>1064</v>
      </c>
      <c r="Q331" s="303" t="s">
        <v>1064</v>
      </c>
      <c r="R331" s="303" t="s">
        <v>1064</v>
      </c>
      <c r="S331" s="303" t="s">
        <v>1064</v>
      </c>
    </row>
    <row r="332" spans="1:19" ht="12.75" customHeight="1">
      <c r="A332" s="217" t="s">
        <v>643</v>
      </c>
      <c r="B332" s="96" t="s">
        <v>214</v>
      </c>
      <c r="C332" s="85"/>
      <c r="D332" s="71" t="s">
        <v>66</v>
      </c>
      <c r="E332" s="67">
        <f>ROW(HideValues!K183)</f>
        <v>183</v>
      </c>
      <c r="F332" s="67">
        <f>COLUMN(HideValues!K183)</f>
        <v>11</v>
      </c>
      <c r="G332" s="231">
        <v>183</v>
      </c>
      <c r="H332" s="231">
        <v>11</v>
      </c>
      <c r="I332" s="85" t="s">
        <v>1045</v>
      </c>
      <c r="J332" s="97" t="s">
        <v>1044</v>
      </c>
      <c r="K332" s="291" t="s">
        <v>1040</v>
      </c>
      <c r="L332" s="293" t="s">
        <v>1560</v>
      </c>
      <c r="M332" s="291" t="s">
        <v>1248</v>
      </c>
      <c r="N332" s="291" t="s">
        <v>1437</v>
      </c>
      <c r="O332" s="303">
        <v>320</v>
      </c>
      <c r="P332" s="303" t="s">
        <v>1064</v>
      </c>
      <c r="Q332" s="303" t="s">
        <v>1064</v>
      </c>
      <c r="R332" s="303" t="s">
        <v>1064</v>
      </c>
      <c r="S332" s="303" t="s">
        <v>1064</v>
      </c>
    </row>
    <row r="333" spans="1:19" ht="12.75" customHeight="1">
      <c r="A333" s="217" t="s">
        <v>643</v>
      </c>
      <c r="B333" s="96" t="s">
        <v>214</v>
      </c>
      <c r="C333" s="85"/>
      <c r="D333" s="71" t="s">
        <v>66</v>
      </c>
      <c r="E333" s="67">
        <f>ROW(HideValues!K184)</f>
        <v>184</v>
      </c>
      <c r="F333" s="67">
        <f>COLUMN(HideValues!K184)</f>
        <v>11</v>
      </c>
      <c r="G333" s="231">
        <v>184</v>
      </c>
      <c r="H333" s="231">
        <v>11</v>
      </c>
      <c r="I333" s="286" t="s">
        <v>401</v>
      </c>
      <c r="J333" s="95" t="str">
        <f ca="1">INDIRECT(ADDRESS(MATCH(I333,$I$20:$I$233,0)+19,10))</f>
        <v>En-dessous de la sélection</v>
      </c>
      <c r="K333" s="95" t="str">
        <f ca="1">INDIRECT(ADDRESS(MATCH(I333,$I$20:$I$319,0)+19,11))</f>
        <v>Por debajo de la selección</v>
      </c>
      <c r="L333" s="95" t="str">
        <f ca="1">INDIRECT(ADDRESS(MATCH(I333,$I$20:$I$330,0)+19,12))</f>
        <v>Unterhalb der ausgewählten Zeile</v>
      </c>
      <c r="M333" s="95" t="str">
        <f ca="1">INDIRECT(ADDRESS(MATCH(I333,$I$20:$I$500,0)+19,13))</f>
        <v>Abaixo da linha selecionada</v>
      </c>
      <c r="N333" s="95" t="str">
        <f ca="1">INDIRECT(ADDRESS(MATCH(I333,$I$20:$I$500,0)+19,14))</f>
        <v>Onder de geselecteerde rij</v>
      </c>
      <c r="O333" s="290">
        <v>321</v>
      </c>
      <c r="P333" s="303" t="s">
        <v>1064</v>
      </c>
      <c r="Q333" s="303" t="s">
        <v>1064</v>
      </c>
      <c r="R333" s="303" t="s">
        <v>1064</v>
      </c>
      <c r="S333" s="303" t="s">
        <v>1064</v>
      </c>
    </row>
    <row r="334" spans="1:19" ht="12.75" customHeight="1">
      <c r="A334" s="217" t="s">
        <v>643</v>
      </c>
      <c r="B334" s="96" t="s">
        <v>214</v>
      </c>
      <c r="C334" s="85"/>
      <c r="D334" s="71" t="s">
        <v>66</v>
      </c>
      <c r="E334" s="67">
        <f>ROW(HideValues!K185)</f>
        <v>185</v>
      </c>
      <c r="F334" s="67">
        <f>COLUMN(HideValues!K185)</f>
        <v>11</v>
      </c>
      <c r="G334" s="231">
        <v>185</v>
      </c>
      <c r="H334" s="231">
        <v>11</v>
      </c>
      <c r="I334" s="286" t="s">
        <v>400</v>
      </c>
      <c r="J334" s="95" t="str">
        <f ca="1">INDIRECT(ADDRESS(MATCH(I334,$I$20:$I$233,0)+19,10))</f>
        <v>Au-dessus de la sélection</v>
      </c>
      <c r="K334" s="95" t="str">
        <f ca="1">INDIRECT(ADDRESS(MATCH(I334,$I$20:$I$319,0)+19,11))</f>
        <v>Por encima de la selección</v>
      </c>
      <c r="L334" s="95" t="str">
        <f ca="1">INDIRECT(ADDRESS(MATCH(I334,$I$20:$I$330,0)+19,12))</f>
        <v>Oberhalb der ausgewählten Zeile</v>
      </c>
      <c r="M334" s="95" t="str">
        <f ca="1">INDIRECT(ADDRESS(MATCH(I334,$I$20:$I$500,0)+19,13))</f>
        <v>Acima da linha selecionada</v>
      </c>
      <c r="N334" s="95" t="str">
        <f ca="1">INDIRECT(ADDRESS(MATCH(I334,$I$20:$I$500,0)+19,14))</f>
        <v>Boven de geselecteerde rij</v>
      </c>
      <c r="O334" s="290">
        <v>322</v>
      </c>
      <c r="P334" s="303" t="s">
        <v>1064</v>
      </c>
      <c r="Q334" s="303" t="s">
        <v>1064</v>
      </c>
      <c r="R334" s="303" t="s">
        <v>1064</v>
      </c>
      <c r="S334" s="303" t="s">
        <v>1064</v>
      </c>
    </row>
    <row r="335" spans="1:19" ht="12.75" customHeight="1">
      <c r="A335" s="217" t="s">
        <v>643</v>
      </c>
      <c r="B335" s="96" t="s">
        <v>214</v>
      </c>
      <c r="C335" s="85"/>
      <c r="D335" s="71" t="s">
        <v>66</v>
      </c>
      <c r="E335" s="67">
        <f>ROW(HideValues!K186)</f>
        <v>186</v>
      </c>
      <c r="F335" s="67">
        <f>COLUMN(HideValues!K186)</f>
        <v>11</v>
      </c>
      <c r="G335" s="231">
        <v>186</v>
      </c>
      <c r="H335" s="231">
        <v>11</v>
      </c>
      <c r="I335" s="187" t="s">
        <v>1054</v>
      </c>
      <c r="J335" s="97" t="s">
        <v>1048</v>
      </c>
      <c r="K335" s="291" t="s">
        <v>1049</v>
      </c>
      <c r="L335" s="293" t="s">
        <v>1561</v>
      </c>
      <c r="M335" s="291" t="s">
        <v>1249</v>
      </c>
      <c r="N335" s="291" t="s">
        <v>1438</v>
      </c>
      <c r="O335" s="303">
        <v>323</v>
      </c>
      <c r="P335" s="303" t="s">
        <v>1064</v>
      </c>
      <c r="Q335" s="303" t="s">
        <v>1064</v>
      </c>
      <c r="R335" s="303" t="s">
        <v>1064</v>
      </c>
      <c r="S335" s="303" t="s">
        <v>1064</v>
      </c>
    </row>
    <row r="336" spans="1:19" ht="12.75" customHeight="1">
      <c r="A336" s="217" t="s">
        <v>643</v>
      </c>
      <c r="B336" s="96" t="s">
        <v>214</v>
      </c>
      <c r="C336" s="85"/>
      <c r="D336" s="71" t="s">
        <v>66</v>
      </c>
      <c r="E336" s="67">
        <f>ROW(HideValues!K187)</f>
        <v>187</v>
      </c>
      <c r="F336" s="67">
        <f>COLUMN(HideValues!K187)</f>
        <v>11</v>
      </c>
      <c r="G336" s="231">
        <v>187</v>
      </c>
      <c r="H336" s="231">
        <v>11</v>
      </c>
      <c r="I336" s="187" t="s">
        <v>1057</v>
      </c>
      <c r="J336" s="97" t="s">
        <v>1058</v>
      </c>
      <c r="K336" s="291" t="s">
        <v>1059</v>
      </c>
      <c r="L336" s="293" t="s">
        <v>1562</v>
      </c>
      <c r="M336" s="291" t="s">
        <v>1250</v>
      </c>
      <c r="N336" s="291" t="s">
        <v>1439</v>
      </c>
      <c r="O336" s="303">
        <v>324</v>
      </c>
      <c r="P336" s="303" t="s">
        <v>1064</v>
      </c>
      <c r="Q336" s="303" t="s">
        <v>1064</v>
      </c>
      <c r="R336" s="303" t="s">
        <v>1064</v>
      </c>
      <c r="S336" s="303" t="s">
        <v>1064</v>
      </c>
    </row>
    <row r="337" spans="1:19" ht="12.75" customHeight="1">
      <c r="A337" s="217" t="s">
        <v>643</v>
      </c>
      <c r="B337" s="96" t="s">
        <v>214</v>
      </c>
      <c r="C337" s="85"/>
      <c r="D337" s="71" t="s">
        <v>66</v>
      </c>
      <c r="E337" s="67">
        <f>ROW(HideValues!K188)</f>
        <v>188</v>
      </c>
      <c r="F337" s="67">
        <f>COLUMN(HideValues!K184)</f>
        <v>11</v>
      </c>
      <c r="G337" s="231">
        <v>188</v>
      </c>
      <c r="H337" s="231">
        <v>11</v>
      </c>
      <c r="I337" s="187" t="s">
        <v>1615</v>
      </c>
      <c r="J337" s="97" t="s">
        <v>1621</v>
      </c>
      <c r="K337" s="311" t="s">
        <v>1640</v>
      </c>
      <c r="L337" s="311" t="s">
        <v>1639</v>
      </c>
      <c r="M337" s="311" t="s">
        <v>1633</v>
      </c>
      <c r="N337" s="311" t="s">
        <v>1628</v>
      </c>
      <c r="O337" s="303">
        <v>324</v>
      </c>
      <c r="P337" s="309" t="s">
        <v>1620</v>
      </c>
      <c r="Q337" s="309" t="s">
        <v>1620</v>
      </c>
      <c r="R337" s="309" t="s">
        <v>1620</v>
      </c>
      <c r="S337" s="309" t="s">
        <v>1620</v>
      </c>
    </row>
    <row r="338" spans="1:19" ht="12.75" customHeight="1">
      <c r="A338" s="217" t="s">
        <v>643</v>
      </c>
      <c r="B338" s="96" t="s">
        <v>214</v>
      </c>
      <c r="C338" s="85"/>
      <c r="D338" s="71" t="s">
        <v>66</v>
      </c>
      <c r="E338" s="67">
        <f>ROW(HideValues!K189)</f>
        <v>189</v>
      </c>
      <c r="F338" s="67">
        <f>COLUMN(HideValues!K185)</f>
        <v>11</v>
      </c>
      <c r="G338" s="231">
        <v>189</v>
      </c>
      <c r="H338" s="231">
        <v>11</v>
      </c>
      <c r="I338" s="187" t="s">
        <v>1616</v>
      </c>
      <c r="J338" s="97" t="s">
        <v>1622</v>
      </c>
      <c r="K338" s="311" t="s">
        <v>1641</v>
      </c>
      <c r="L338" s="311" t="s">
        <v>1638</v>
      </c>
      <c r="M338" s="311" t="s">
        <v>1634</v>
      </c>
      <c r="N338" s="311" t="s">
        <v>1629</v>
      </c>
      <c r="O338" s="303">
        <v>324</v>
      </c>
      <c r="P338" s="309" t="s">
        <v>1620</v>
      </c>
      <c r="Q338" s="309" t="s">
        <v>1620</v>
      </c>
      <c r="R338" s="309" t="s">
        <v>1620</v>
      </c>
      <c r="S338" s="309" t="s">
        <v>1620</v>
      </c>
    </row>
    <row r="339" spans="1:19" ht="12.75" customHeight="1">
      <c r="A339" s="217" t="s">
        <v>643</v>
      </c>
      <c r="B339" s="96" t="s">
        <v>214</v>
      </c>
      <c r="C339" s="85"/>
      <c r="D339" s="71" t="s">
        <v>66</v>
      </c>
      <c r="E339" s="67">
        <f>ROW(HideValues!K190)</f>
        <v>190</v>
      </c>
      <c r="F339" s="67">
        <f>COLUMN(HideValues!K186)</f>
        <v>11</v>
      </c>
      <c r="G339" s="231">
        <v>190</v>
      </c>
      <c r="H339" s="231">
        <v>11</v>
      </c>
      <c r="I339" s="187" t="s">
        <v>1625</v>
      </c>
      <c r="J339" s="97" t="s">
        <v>1623</v>
      </c>
      <c r="K339" s="311" t="s">
        <v>1642</v>
      </c>
      <c r="L339" s="311" t="s">
        <v>1636</v>
      </c>
      <c r="M339" s="311" t="s">
        <v>1635</v>
      </c>
      <c r="N339" s="311" t="s">
        <v>1630</v>
      </c>
      <c r="O339" s="303">
        <v>324</v>
      </c>
      <c r="P339" s="309" t="s">
        <v>1620</v>
      </c>
      <c r="Q339" s="309" t="s">
        <v>1620</v>
      </c>
      <c r="R339" s="309" t="s">
        <v>1620</v>
      </c>
      <c r="S339" s="309" t="s">
        <v>1620</v>
      </c>
    </row>
    <row r="340" spans="1:19" ht="12.75" customHeight="1">
      <c r="A340" s="217" t="s">
        <v>643</v>
      </c>
      <c r="B340" s="96" t="s">
        <v>214</v>
      </c>
      <c r="C340" s="85"/>
      <c r="D340" s="71" t="s">
        <v>66</v>
      </c>
      <c r="E340" s="67">
        <f>ROW(HideValues!K191)</f>
        <v>191</v>
      </c>
      <c r="F340" s="67">
        <f>COLUMN(HideValues!K187)</f>
        <v>11</v>
      </c>
      <c r="G340" s="231">
        <v>191</v>
      </c>
      <c r="H340" s="231">
        <v>11</v>
      </c>
      <c r="I340" s="187" t="s">
        <v>1652</v>
      </c>
      <c r="J340" s="97" t="s">
        <v>1651</v>
      </c>
      <c r="K340" s="311" t="s">
        <v>1644</v>
      </c>
      <c r="L340" s="311" t="s">
        <v>1645</v>
      </c>
      <c r="M340" s="311" t="s">
        <v>1647</v>
      </c>
      <c r="N340" s="312" t="s">
        <v>1649</v>
      </c>
      <c r="O340" s="303">
        <v>324</v>
      </c>
      <c r="P340" s="309" t="s">
        <v>1620</v>
      </c>
      <c r="Q340" s="309" t="s">
        <v>1620</v>
      </c>
      <c r="R340" s="309" t="s">
        <v>1620</v>
      </c>
      <c r="S340" s="309" t="s">
        <v>1620</v>
      </c>
    </row>
    <row r="341" spans="1:19" ht="12.75" customHeight="1">
      <c r="A341" s="217" t="s">
        <v>643</v>
      </c>
      <c r="B341" s="96" t="s">
        <v>214</v>
      </c>
      <c r="C341" s="85"/>
      <c r="D341" s="71" t="s">
        <v>66</v>
      </c>
      <c r="E341" s="67">
        <f>ROW(HideValues!K192)</f>
        <v>192</v>
      </c>
      <c r="F341" s="67">
        <f>COLUMN(HideValues!K188)</f>
        <v>11</v>
      </c>
      <c r="G341" s="231">
        <v>192</v>
      </c>
      <c r="H341" s="231">
        <v>11</v>
      </c>
      <c r="I341" s="187" t="s">
        <v>1626</v>
      </c>
      <c r="J341" s="97" t="s">
        <v>1627</v>
      </c>
      <c r="K341" s="311" t="s">
        <v>1643</v>
      </c>
      <c r="L341" s="311" t="s">
        <v>1646</v>
      </c>
      <c r="M341" s="311" t="s">
        <v>1648</v>
      </c>
      <c r="N341" s="312" t="s">
        <v>1650</v>
      </c>
      <c r="O341" s="303">
        <v>324</v>
      </c>
      <c r="P341" s="309" t="s">
        <v>1620</v>
      </c>
      <c r="Q341" s="309" t="s">
        <v>1620</v>
      </c>
      <c r="R341" s="309" t="s">
        <v>1620</v>
      </c>
      <c r="S341" s="309" t="s">
        <v>1620</v>
      </c>
    </row>
    <row r="342" spans="1:19" ht="12.75" customHeight="1">
      <c r="A342" s="217" t="s">
        <v>643</v>
      </c>
      <c r="B342" s="96" t="s">
        <v>214</v>
      </c>
      <c r="C342" s="85"/>
      <c r="D342" s="71" t="s">
        <v>66</v>
      </c>
      <c r="E342" s="67">
        <f>ROW(HideValues!K193)</f>
        <v>193</v>
      </c>
      <c r="F342" s="67">
        <f>COLUMN(HideValues!K189)</f>
        <v>11</v>
      </c>
      <c r="G342" s="231">
        <v>193</v>
      </c>
      <c r="H342" s="231">
        <v>11</v>
      </c>
      <c r="I342" s="187" t="s">
        <v>1619</v>
      </c>
      <c r="J342" s="97" t="s">
        <v>1624</v>
      </c>
      <c r="K342" t="s">
        <v>1632</v>
      </c>
      <c r="L342" t="s">
        <v>1637</v>
      </c>
      <c r="M342" s="310" t="s">
        <v>1624</v>
      </c>
      <c r="N342" s="291" t="s">
        <v>1631</v>
      </c>
      <c r="O342" s="303">
        <v>324</v>
      </c>
      <c r="P342" s="309" t="s">
        <v>1620</v>
      </c>
      <c r="Q342" s="309" t="s">
        <v>1620</v>
      </c>
      <c r="R342" s="309" t="s">
        <v>1620</v>
      </c>
      <c r="S342" s="309" t="s">
        <v>1620</v>
      </c>
    </row>
    <row r="343" spans="1:19" ht="12.75" customHeight="1">
      <c r="A343" s="217" t="s">
        <v>643</v>
      </c>
      <c r="B343" s="96" t="s">
        <v>214</v>
      </c>
      <c r="C343" s="85"/>
      <c r="D343" s="71" t="s">
        <v>66</v>
      </c>
      <c r="E343" s="67">
        <f>ROW(HideValues!K194)</f>
        <v>194</v>
      </c>
      <c r="F343" s="67">
        <f>COLUMN(HideValues!K190)</f>
        <v>11</v>
      </c>
      <c r="G343" s="231">
        <v>194</v>
      </c>
      <c r="H343" s="231">
        <v>11</v>
      </c>
      <c r="I343" s="187" t="s">
        <v>1657</v>
      </c>
      <c r="J343" s="97" t="s">
        <v>1657</v>
      </c>
      <c r="K343" t="s">
        <v>1657</v>
      </c>
      <c r="L343" t="s">
        <v>1657</v>
      </c>
      <c r="M343" s="310" t="s">
        <v>1657</v>
      </c>
      <c r="N343" s="291" t="s">
        <v>1657</v>
      </c>
      <c r="O343" s="303">
        <v>324</v>
      </c>
      <c r="P343" s="309" t="s">
        <v>1620</v>
      </c>
      <c r="Q343" s="309" t="s">
        <v>1620</v>
      </c>
      <c r="R343" s="309" t="s">
        <v>1620</v>
      </c>
      <c r="S343" s="309" t="s">
        <v>1620</v>
      </c>
    </row>
    <row r="344" spans="1:19" s="73" customFormat="1">
      <c r="A344" s="69" t="s">
        <v>1023</v>
      </c>
      <c r="B344" s="70" t="s">
        <v>960</v>
      </c>
      <c r="C344" s="70" t="s">
        <v>1022</v>
      </c>
      <c r="D344" s="70" t="s">
        <v>41</v>
      </c>
      <c r="E344" s="67"/>
      <c r="F344" s="67"/>
      <c r="G344" s="231"/>
      <c r="H344" s="231"/>
      <c r="I344" s="97" t="s">
        <v>496</v>
      </c>
      <c r="J344" s="97" t="s">
        <v>1024</v>
      </c>
      <c r="K344" s="293" t="s">
        <v>1026</v>
      </c>
      <c r="L344" s="293" t="s">
        <v>1027</v>
      </c>
      <c r="M344" s="291" t="s">
        <v>1251</v>
      </c>
      <c r="N344" s="293" t="s">
        <v>1440</v>
      </c>
      <c r="O344" s="303">
        <v>325</v>
      </c>
      <c r="P344" s="303" t="s">
        <v>1064</v>
      </c>
      <c r="Q344" s="303" t="s">
        <v>1064</v>
      </c>
      <c r="R344" s="303" t="s">
        <v>1064</v>
      </c>
      <c r="S344" s="303" t="s">
        <v>1064</v>
      </c>
    </row>
    <row r="345" spans="1:19" s="73" customFormat="1">
      <c r="A345" s="69" t="s">
        <v>1023</v>
      </c>
      <c r="B345" s="70" t="s">
        <v>960</v>
      </c>
      <c r="C345" s="70" t="s">
        <v>1021</v>
      </c>
      <c r="D345" s="70" t="s">
        <v>41</v>
      </c>
      <c r="E345" s="67"/>
      <c r="F345" s="67"/>
      <c r="G345" s="231"/>
      <c r="H345" s="231"/>
      <c r="I345" s="97" t="s">
        <v>497</v>
      </c>
      <c r="J345" s="97" t="s">
        <v>1025</v>
      </c>
      <c r="K345" s="293" t="s">
        <v>1028</v>
      </c>
      <c r="L345" s="293" t="s">
        <v>1029</v>
      </c>
      <c r="M345" s="291" t="s">
        <v>1252</v>
      </c>
      <c r="N345" s="293" t="s">
        <v>1441</v>
      </c>
      <c r="O345" s="303">
        <v>326</v>
      </c>
      <c r="P345" s="303" t="s">
        <v>1064</v>
      </c>
      <c r="Q345" s="303" t="s">
        <v>1064</v>
      </c>
      <c r="R345" s="303" t="s">
        <v>1064</v>
      </c>
      <c r="S345" s="303" t="s">
        <v>1064</v>
      </c>
    </row>
    <row r="346" spans="1:19" s="73" customFormat="1">
      <c r="A346" s="69" t="s">
        <v>1023</v>
      </c>
      <c r="B346" s="70" t="s">
        <v>960</v>
      </c>
      <c r="C346" s="70" t="s">
        <v>1038</v>
      </c>
      <c r="D346" s="70" t="s">
        <v>41</v>
      </c>
      <c r="E346" s="67"/>
      <c r="F346" s="67"/>
      <c r="G346" s="231"/>
      <c r="H346" s="231"/>
      <c r="I346" s="97" t="s">
        <v>1036</v>
      </c>
      <c r="J346" s="97" t="s">
        <v>1037</v>
      </c>
      <c r="K346" s="293" t="s">
        <v>1040</v>
      </c>
      <c r="L346" s="293" t="s">
        <v>1039</v>
      </c>
      <c r="M346" s="291" t="s">
        <v>1253</v>
      </c>
      <c r="N346" s="293" t="s">
        <v>1442</v>
      </c>
      <c r="O346" s="303">
        <v>327</v>
      </c>
      <c r="P346" s="303" t="s">
        <v>1064</v>
      </c>
      <c r="Q346" s="303" t="s">
        <v>1064</v>
      </c>
      <c r="R346" s="303" t="s">
        <v>1064</v>
      </c>
      <c r="S346" s="303" t="s">
        <v>1064</v>
      </c>
    </row>
  </sheetData>
  <sheetProtection algorithmName="SHA-512" hashValue="03vscvDAWf0pWOlrO/wo6uHTIQidctqYaI8Vp90jcyhVl9xE+DSE2tQDTvKB13k3rxxoFW3aUhxXbjxH/Ic3PQ==" saltValue="45nbEMzV7z0ixPu+H6PF+g==" spinCount="100000" sheet="1" objects="1" scenarios="1"/>
  <autoFilter ref="A19:Q346" xr:uid="{00000000-0009-0000-0000-000002000000}"/>
  <mergeCells count="3">
    <mergeCell ref="E18:F18"/>
    <mergeCell ref="G18:H18"/>
    <mergeCell ref="O18:S18"/>
  </mergeCells>
  <phoneticPr fontId="13"/>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X227"/>
  <sheetViews>
    <sheetView workbookViewId="0">
      <selection activeCell="C83" sqref="C83"/>
    </sheetView>
  </sheetViews>
  <sheetFormatPr baseColWidth="10" defaultColWidth="9.140625" defaultRowHeight="12.75"/>
  <cols>
    <col min="1" max="1" width="16.140625" style="61" customWidth="1"/>
    <col min="2" max="2" width="21.85546875" style="61" customWidth="1"/>
    <col min="3" max="4" width="11.140625" style="61" customWidth="1"/>
    <col min="5" max="6" width="9.140625" style="61"/>
    <col min="7" max="7" width="18.42578125" style="61" customWidth="1"/>
    <col min="8" max="8" width="10.140625" style="61" bestFit="1" customWidth="1"/>
    <col min="9" max="9" width="12" style="61" customWidth="1"/>
    <col min="10" max="10" width="18.42578125" style="61" bestFit="1" customWidth="1"/>
    <col min="11" max="11" width="28" style="61" bestFit="1" customWidth="1"/>
    <col min="12" max="12" width="13.42578125" style="61" customWidth="1"/>
    <col min="13" max="17" width="9.140625" style="61"/>
    <col min="18" max="18" width="16.42578125" style="262" customWidth="1"/>
    <col min="19" max="19" width="15.7109375" style="262" customWidth="1"/>
    <col min="20" max="21" width="9.140625" style="61" hidden="1" customWidth="1"/>
    <col min="22" max="22" width="9.140625" style="61"/>
    <col min="23" max="24" width="9.140625" style="61" hidden="1" customWidth="1"/>
    <col min="25" max="16384" width="9.140625" style="61"/>
  </cols>
  <sheetData>
    <row r="1" spans="1:19" s="79" customFormat="1">
      <c r="A1" s="78" t="s">
        <v>3</v>
      </c>
      <c r="E1" s="90"/>
      <c r="F1" s="90"/>
      <c r="G1" s="90"/>
      <c r="R1" s="263">
        <v>1</v>
      </c>
      <c r="S1" s="264">
        <v>2</v>
      </c>
    </row>
    <row r="2" spans="1:19" s="79" customFormat="1" ht="12.75" customHeight="1">
      <c r="E2" s="90"/>
      <c r="F2" s="90"/>
      <c r="G2" s="90"/>
      <c r="R2" s="265" t="s">
        <v>1660</v>
      </c>
      <c r="S2" s="266" t="s">
        <v>1661</v>
      </c>
    </row>
    <row r="3" spans="1:19" s="79" customFormat="1" ht="12.75" customHeight="1">
      <c r="A3" s="176" t="s">
        <v>541</v>
      </c>
      <c r="B3" s="175" t="b">
        <v>0</v>
      </c>
      <c r="G3" s="93"/>
      <c r="K3" s="88"/>
      <c r="R3" s="267"/>
      <c r="S3" s="268"/>
    </row>
    <row r="4" spans="1:19" s="79" customFormat="1">
      <c r="K4" s="88"/>
      <c r="R4" s="267"/>
      <c r="S4" s="268"/>
    </row>
    <row r="5" spans="1:19" s="79" customFormat="1">
      <c r="G5" s="94"/>
      <c r="K5" s="88"/>
      <c r="R5" s="267"/>
      <c r="S5" s="268"/>
    </row>
    <row r="6" spans="1:19" s="79" customFormat="1">
      <c r="G6" s="94"/>
      <c r="K6" s="88"/>
      <c r="R6" s="267"/>
      <c r="S6" s="268"/>
    </row>
    <row r="7" spans="1:19" s="79" customFormat="1">
      <c r="A7" s="166" t="s">
        <v>493</v>
      </c>
      <c r="B7" s="364" t="s">
        <v>494</v>
      </c>
      <c r="C7" s="365"/>
      <c r="D7" s="166" t="s">
        <v>495</v>
      </c>
      <c r="G7" s="88"/>
      <c r="K7" s="88"/>
      <c r="R7" s="267"/>
      <c r="S7" s="268"/>
    </row>
    <row r="8" spans="1:19" s="79" customFormat="1">
      <c r="A8" s="163">
        <v>1</v>
      </c>
      <c r="B8" s="164" t="s">
        <v>1678</v>
      </c>
      <c r="C8" s="165">
        <v>36892</v>
      </c>
      <c r="D8" s="163">
        <v>2010</v>
      </c>
      <c r="E8" s="88"/>
      <c r="F8" s="88"/>
      <c r="G8" s="88"/>
      <c r="K8" s="88"/>
      <c r="R8" s="267"/>
      <c r="S8" s="268"/>
    </row>
    <row r="9" spans="1:19" s="79" customFormat="1">
      <c r="A9" s="86">
        <v>2</v>
      </c>
      <c r="B9" s="89" t="s">
        <v>1679</v>
      </c>
      <c r="C9" s="87">
        <v>36923</v>
      </c>
      <c r="D9" s="86">
        <v>2011</v>
      </c>
      <c r="E9" s="88"/>
      <c r="F9" s="88"/>
      <c r="G9" s="88"/>
      <c r="K9" s="88"/>
      <c r="R9" s="267"/>
      <c r="S9" s="268"/>
    </row>
    <row r="10" spans="1:19" s="79" customFormat="1">
      <c r="A10" s="86">
        <v>3</v>
      </c>
      <c r="B10" s="86" t="s">
        <v>1680</v>
      </c>
      <c r="C10" s="87">
        <v>36951</v>
      </c>
      <c r="D10" s="86">
        <v>2012</v>
      </c>
      <c r="E10" s="88"/>
      <c r="F10" s="88"/>
      <c r="G10" s="88"/>
      <c r="K10" s="88"/>
      <c r="L10" s="88"/>
      <c r="M10" s="88"/>
      <c r="R10" s="267"/>
      <c r="S10" s="268"/>
    </row>
    <row r="11" spans="1:19" s="79" customFormat="1">
      <c r="A11" s="86">
        <v>4</v>
      </c>
      <c r="B11" s="86" t="s">
        <v>1681</v>
      </c>
      <c r="C11" s="87">
        <v>36982</v>
      </c>
      <c r="D11" s="86">
        <v>2013</v>
      </c>
      <c r="E11" s="88"/>
      <c r="F11" s="88"/>
      <c r="G11" s="88"/>
      <c r="K11" s="88"/>
      <c r="L11" s="88"/>
      <c r="M11" s="88"/>
      <c r="R11" s="267"/>
      <c r="S11" s="268"/>
    </row>
    <row r="12" spans="1:19" s="79" customFormat="1">
      <c r="A12" s="86">
        <v>5</v>
      </c>
      <c r="B12" s="86" t="s">
        <v>1682</v>
      </c>
      <c r="C12" s="87">
        <v>37012</v>
      </c>
      <c r="D12" s="86">
        <v>2014</v>
      </c>
      <c r="E12" s="88"/>
      <c r="F12" s="88"/>
      <c r="G12" s="88"/>
      <c r="K12" s="88"/>
      <c r="L12" s="88"/>
      <c r="M12" s="88"/>
      <c r="R12" s="267"/>
      <c r="S12" s="268"/>
    </row>
    <row r="13" spans="1:19" s="79" customFormat="1">
      <c r="A13" s="86">
        <v>6</v>
      </c>
      <c r="B13" s="86" t="s">
        <v>1683</v>
      </c>
      <c r="C13" s="87">
        <v>37043</v>
      </c>
      <c r="D13" s="86">
        <v>2015</v>
      </c>
      <c r="E13" s="88"/>
      <c r="F13" s="91"/>
      <c r="G13" s="88"/>
      <c r="K13" s="88"/>
      <c r="L13" s="88"/>
      <c r="M13" s="88"/>
      <c r="R13" s="267"/>
      <c r="S13" s="268"/>
    </row>
    <row r="14" spans="1:19" s="79" customFormat="1">
      <c r="A14" s="86">
        <v>7</v>
      </c>
      <c r="B14" s="92" t="s">
        <v>1684</v>
      </c>
      <c r="C14" s="87">
        <v>37073</v>
      </c>
      <c r="D14" s="86">
        <v>2016</v>
      </c>
      <c r="E14" s="90"/>
      <c r="F14" s="90"/>
      <c r="G14" s="90"/>
      <c r="L14" s="88"/>
      <c r="M14" s="88"/>
      <c r="R14" s="267"/>
      <c r="S14" s="268"/>
    </row>
    <row r="15" spans="1:19" s="79" customFormat="1">
      <c r="A15" s="86">
        <v>8</v>
      </c>
      <c r="B15" s="86" t="s">
        <v>1685</v>
      </c>
      <c r="C15" s="87">
        <v>37104</v>
      </c>
      <c r="D15" s="86">
        <v>2017</v>
      </c>
      <c r="E15" s="88"/>
      <c r="F15" s="88"/>
      <c r="G15" s="88"/>
      <c r="L15" s="88"/>
      <c r="M15" s="88"/>
      <c r="R15" s="267"/>
      <c r="S15" s="268"/>
    </row>
    <row r="16" spans="1:19" s="79" customFormat="1">
      <c r="A16" s="86">
        <v>9</v>
      </c>
      <c r="B16" s="86" t="s">
        <v>1686</v>
      </c>
      <c r="C16" s="87">
        <v>37135</v>
      </c>
      <c r="D16" s="86">
        <v>2018</v>
      </c>
      <c r="E16" s="88"/>
      <c r="F16" s="88"/>
      <c r="G16" s="88"/>
      <c r="L16" s="88"/>
      <c r="M16" s="88"/>
      <c r="R16" s="267"/>
      <c r="S16" s="268"/>
    </row>
    <row r="17" spans="1:19" s="79" customFormat="1">
      <c r="A17" s="86">
        <v>10</v>
      </c>
      <c r="B17" s="86" t="s">
        <v>1687</v>
      </c>
      <c r="C17" s="87">
        <v>37165</v>
      </c>
      <c r="D17" s="86">
        <v>2019</v>
      </c>
      <c r="E17" s="88"/>
      <c r="F17" s="88"/>
      <c r="G17" s="88"/>
      <c r="L17" s="88"/>
      <c r="M17" s="88"/>
      <c r="R17" s="267"/>
      <c r="S17" s="268"/>
    </row>
    <row r="18" spans="1:19" s="79" customFormat="1">
      <c r="A18" s="86">
        <v>11</v>
      </c>
      <c r="B18" s="86" t="s">
        <v>1688</v>
      </c>
      <c r="C18" s="87">
        <v>37196</v>
      </c>
      <c r="D18" s="86">
        <v>2020</v>
      </c>
      <c r="E18" s="88"/>
      <c r="F18" s="88"/>
      <c r="G18" s="88"/>
      <c r="L18" s="88"/>
      <c r="M18" s="88"/>
      <c r="R18" s="267"/>
      <c r="S18" s="268"/>
    </row>
    <row r="19" spans="1:19" s="79" customFormat="1" hidden="1">
      <c r="A19" s="86">
        <v>12</v>
      </c>
      <c r="B19" s="86" t="s">
        <v>1689</v>
      </c>
      <c r="C19" s="87">
        <v>37226</v>
      </c>
      <c r="D19" s="86">
        <v>2021</v>
      </c>
      <c r="E19" s="88"/>
      <c r="F19" s="88"/>
      <c r="G19" s="88"/>
      <c r="L19" s="88"/>
      <c r="M19" s="88"/>
      <c r="R19" s="267"/>
      <c r="S19" s="268"/>
    </row>
    <row r="20" spans="1:19" s="79" customFormat="1" hidden="1">
      <c r="A20" s="86">
        <v>13</v>
      </c>
      <c r="B20" s="88"/>
      <c r="C20" s="88"/>
      <c r="D20" s="86">
        <v>2022</v>
      </c>
      <c r="E20" s="88"/>
      <c r="F20" s="88"/>
      <c r="G20" s="88"/>
      <c r="H20" s="88"/>
      <c r="I20" s="88"/>
      <c r="J20" s="88"/>
      <c r="K20" s="88"/>
      <c r="L20" s="88"/>
      <c r="M20" s="88"/>
      <c r="R20" s="267"/>
      <c r="S20" s="268"/>
    </row>
    <row r="21" spans="1:19" s="79" customFormat="1" hidden="1">
      <c r="A21" s="86">
        <v>14</v>
      </c>
      <c r="B21" s="88"/>
      <c r="C21" s="88"/>
      <c r="D21" s="86">
        <v>2023</v>
      </c>
      <c r="E21" s="88"/>
      <c r="F21" s="88"/>
      <c r="G21" s="88"/>
      <c r="H21" s="88"/>
      <c r="I21" s="88"/>
      <c r="J21" s="88"/>
      <c r="K21" s="88"/>
      <c r="L21" s="88"/>
      <c r="M21" s="88"/>
      <c r="R21" s="267"/>
      <c r="S21" s="268"/>
    </row>
    <row r="22" spans="1:19" s="79" customFormat="1">
      <c r="A22" s="86">
        <v>15</v>
      </c>
      <c r="B22" s="88"/>
      <c r="C22" s="88"/>
      <c r="D22" s="86">
        <v>2024</v>
      </c>
      <c r="E22" s="88"/>
      <c r="F22" s="88"/>
      <c r="G22" s="88"/>
      <c r="H22" s="88"/>
      <c r="I22" s="88"/>
      <c r="J22" s="88"/>
      <c r="K22" s="88"/>
      <c r="L22" s="88"/>
      <c r="M22" s="88"/>
      <c r="R22" s="267"/>
      <c r="S22" s="268"/>
    </row>
    <row r="23" spans="1:19" s="79" customFormat="1">
      <c r="A23" s="86">
        <v>16</v>
      </c>
      <c r="B23" s="88"/>
      <c r="C23" s="88"/>
      <c r="D23" s="86">
        <v>2025</v>
      </c>
      <c r="E23" s="88"/>
      <c r="F23" s="88"/>
      <c r="G23" s="88"/>
      <c r="H23" s="88"/>
      <c r="I23" s="88"/>
      <c r="J23" s="88"/>
      <c r="K23" s="88"/>
      <c r="L23" s="88"/>
      <c r="M23" s="88"/>
      <c r="R23" s="267"/>
      <c r="S23" s="268"/>
    </row>
    <row r="24" spans="1:19" s="79" customFormat="1">
      <c r="A24" s="86">
        <v>17</v>
      </c>
      <c r="B24" s="88"/>
      <c r="C24" s="88"/>
      <c r="D24" s="86">
        <v>2026</v>
      </c>
      <c r="E24" s="88"/>
      <c r="F24" s="88"/>
      <c r="G24" s="88"/>
      <c r="H24" s="88"/>
      <c r="I24" s="88"/>
      <c r="J24" s="88"/>
      <c r="K24" s="88"/>
      <c r="L24" s="88"/>
      <c r="M24" s="88"/>
      <c r="R24" s="267"/>
      <c r="S24" s="268"/>
    </row>
    <row r="25" spans="1:19" s="79" customFormat="1">
      <c r="A25" s="86">
        <v>18</v>
      </c>
      <c r="B25" s="88"/>
      <c r="C25" s="88"/>
      <c r="D25" s="88"/>
      <c r="E25" s="88"/>
      <c r="F25" s="88"/>
      <c r="G25" s="88"/>
      <c r="H25" s="88"/>
      <c r="I25" s="88"/>
      <c r="J25" s="88"/>
      <c r="K25" s="88"/>
      <c r="L25" s="88"/>
      <c r="M25" s="88"/>
      <c r="R25" s="267"/>
      <c r="S25" s="268"/>
    </row>
    <row r="26" spans="1:19" s="79" customFormat="1">
      <c r="A26" s="86">
        <v>19</v>
      </c>
      <c r="B26" s="88"/>
      <c r="C26" s="88"/>
      <c r="D26" s="88"/>
      <c r="E26" s="88"/>
      <c r="F26" s="88"/>
      <c r="G26" s="88"/>
      <c r="H26" s="88"/>
      <c r="I26" s="88"/>
      <c r="J26" s="88"/>
      <c r="K26" s="88"/>
      <c r="L26" s="88"/>
      <c r="M26" s="88"/>
      <c r="R26" s="267"/>
      <c r="S26" s="268"/>
    </row>
    <row r="27" spans="1:19" s="79" customFormat="1">
      <c r="A27" s="86">
        <v>20</v>
      </c>
      <c r="B27" s="88"/>
      <c r="C27" s="88"/>
      <c r="D27" s="88"/>
      <c r="E27" s="88"/>
      <c r="F27" s="88"/>
      <c r="G27" s="88"/>
      <c r="H27" s="88"/>
      <c r="I27" s="88"/>
      <c r="J27" s="88"/>
      <c r="K27" s="88"/>
      <c r="L27" s="88"/>
      <c r="M27" s="88"/>
      <c r="R27" s="267"/>
      <c r="S27" s="268"/>
    </row>
    <row r="28" spans="1:19" s="79" customFormat="1">
      <c r="A28" s="86">
        <v>21</v>
      </c>
      <c r="B28" s="88"/>
      <c r="C28" s="88"/>
      <c r="D28" s="88"/>
      <c r="E28" s="88"/>
      <c r="F28" s="88"/>
      <c r="G28" s="88"/>
      <c r="H28" s="88"/>
      <c r="I28" s="88"/>
      <c r="J28" s="88"/>
      <c r="K28" s="88"/>
      <c r="L28" s="88"/>
      <c r="M28" s="88"/>
      <c r="R28" s="267"/>
      <c r="S28" s="268"/>
    </row>
    <row r="29" spans="1:19" s="79" customFormat="1">
      <c r="A29" s="86">
        <v>22</v>
      </c>
      <c r="B29" s="88"/>
      <c r="C29" s="88"/>
      <c r="D29" s="88"/>
      <c r="E29" s="88"/>
      <c r="F29" s="88"/>
      <c r="G29" s="88"/>
      <c r="H29" s="88"/>
      <c r="I29" s="88"/>
      <c r="J29" s="88"/>
      <c r="K29" s="88"/>
      <c r="L29" s="88"/>
      <c r="M29" s="88"/>
      <c r="R29" s="267"/>
      <c r="S29" s="268"/>
    </row>
    <row r="30" spans="1:19" s="79" customFormat="1">
      <c r="A30" s="86">
        <v>23</v>
      </c>
      <c r="B30" s="88"/>
      <c r="C30" s="88"/>
      <c r="D30" s="88"/>
      <c r="E30" s="88"/>
      <c r="F30" s="88"/>
      <c r="G30" s="88"/>
      <c r="H30" s="88"/>
      <c r="I30" s="88"/>
      <c r="J30" s="88"/>
      <c r="K30" s="88"/>
      <c r="L30" s="88"/>
      <c r="M30" s="88"/>
      <c r="R30" s="267"/>
      <c r="S30" s="268"/>
    </row>
    <row r="31" spans="1:19" s="79" customFormat="1">
      <c r="A31" s="86">
        <v>24</v>
      </c>
      <c r="B31" s="88"/>
      <c r="C31" s="88"/>
      <c r="D31" s="88"/>
      <c r="E31" s="88"/>
      <c r="F31" s="88"/>
      <c r="G31" s="88"/>
      <c r="H31" s="88"/>
      <c r="I31" s="88"/>
      <c r="J31" s="88"/>
      <c r="K31" s="88"/>
      <c r="L31" s="88"/>
      <c r="M31" s="88"/>
      <c r="R31" s="267"/>
      <c r="S31" s="268"/>
    </row>
    <row r="32" spans="1:19" s="79" customFormat="1">
      <c r="A32" s="86">
        <v>25</v>
      </c>
      <c r="B32" s="88"/>
      <c r="C32" s="88"/>
      <c r="D32" s="88"/>
      <c r="E32" s="88"/>
      <c r="F32" s="88"/>
      <c r="G32" s="88"/>
      <c r="H32" s="88"/>
      <c r="L32" s="109"/>
      <c r="R32" s="267"/>
      <c r="S32" s="268"/>
    </row>
    <row r="33" spans="1:19" s="79" customFormat="1">
      <c r="A33" s="86">
        <v>26</v>
      </c>
      <c r="B33" s="88"/>
      <c r="C33" s="88"/>
      <c r="D33" s="88"/>
      <c r="E33" s="88"/>
      <c r="F33" s="88"/>
      <c r="G33" s="88"/>
      <c r="H33" s="88"/>
      <c r="L33" s="109"/>
      <c r="R33" s="267"/>
      <c r="S33" s="268"/>
    </row>
    <row r="34" spans="1:19" s="79" customFormat="1">
      <c r="A34" s="86">
        <v>27</v>
      </c>
      <c r="B34" s="88"/>
      <c r="C34" s="88"/>
      <c r="D34" s="88"/>
      <c r="E34" s="88"/>
      <c r="F34" s="88"/>
      <c r="G34" s="88"/>
      <c r="H34" s="88"/>
      <c r="R34" s="267"/>
      <c r="S34" s="268"/>
    </row>
    <row r="35" spans="1:19" s="79" customFormat="1">
      <c r="A35" s="86">
        <v>28</v>
      </c>
      <c r="B35" s="88"/>
      <c r="C35" s="88"/>
      <c r="D35" s="88"/>
      <c r="E35" s="88"/>
      <c r="F35" s="88"/>
      <c r="G35" s="88"/>
      <c r="H35" s="90"/>
      <c r="R35" s="267"/>
      <c r="S35" s="268"/>
    </row>
    <row r="36" spans="1:19" s="79" customFormat="1">
      <c r="A36" s="86">
        <v>29</v>
      </c>
      <c r="B36" s="88"/>
      <c r="C36" s="88"/>
      <c r="D36" s="88"/>
      <c r="E36" s="88"/>
      <c r="F36" s="88"/>
      <c r="G36" s="88"/>
      <c r="H36" s="90"/>
      <c r="R36" s="267"/>
      <c r="S36" s="268"/>
    </row>
    <row r="37" spans="1:19" s="79" customFormat="1">
      <c r="A37" s="86">
        <v>30</v>
      </c>
      <c r="B37" s="90"/>
      <c r="C37" s="90"/>
      <c r="D37" s="90"/>
      <c r="E37" s="90"/>
      <c r="F37" s="90"/>
      <c r="G37" s="90"/>
      <c r="H37" s="90"/>
      <c r="R37" s="267"/>
      <c r="S37" s="268"/>
    </row>
    <row r="38" spans="1:19" s="79" customFormat="1">
      <c r="A38" s="86">
        <v>31</v>
      </c>
      <c r="B38" s="90"/>
      <c r="C38" s="90"/>
      <c r="D38" s="90"/>
      <c r="E38" s="90"/>
      <c r="F38" s="90"/>
      <c r="G38" s="90"/>
      <c r="H38" s="90"/>
      <c r="R38" s="267"/>
      <c r="S38" s="268"/>
    </row>
    <row r="39" spans="1:19" s="79" customFormat="1">
      <c r="A39" s="90"/>
      <c r="B39" s="90"/>
      <c r="C39" s="90"/>
      <c r="D39" s="90"/>
      <c r="E39" s="90"/>
      <c r="F39" s="90"/>
      <c r="G39" s="90"/>
      <c r="H39" s="90"/>
      <c r="R39" s="267"/>
      <c r="S39" s="268"/>
    </row>
    <row r="40" spans="1:19" s="79" customFormat="1" ht="12.75" customHeight="1">
      <c r="R40" s="267"/>
      <c r="S40" s="268"/>
    </row>
    <row r="41" spans="1:19" s="79" customFormat="1">
      <c r="R41" s="267"/>
      <c r="S41" s="268"/>
    </row>
    <row r="42" spans="1:19" s="79" customFormat="1">
      <c r="D42" s="90"/>
      <c r="R42" s="267"/>
      <c r="S42" s="268"/>
    </row>
    <row r="43" spans="1:19" s="79" customFormat="1">
      <c r="D43" s="90"/>
      <c r="R43" s="267"/>
      <c r="S43" s="268"/>
    </row>
    <row r="44" spans="1:19" s="79" customFormat="1">
      <c r="A44" s="366" t="s">
        <v>110</v>
      </c>
      <c r="B44" s="366"/>
      <c r="D44" s="367" t="s">
        <v>140</v>
      </c>
      <c r="E44" s="368"/>
      <c r="F44" s="369"/>
      <c r="H44" s="367" t="s">
        <v>176</v>
      </c>
      <c r="I44" s="368"/>
      <c r="J44" s="369"/>
      <c r="R44" s="267"/>
      <c r="S44" s="268"/>
    </row>
    <row r="45" spans="1:19" s="79" customFormat="1">
      <c r="A45" s="81" t="s">
        <v>133</v>
      </c>
      <c r="B45" s="81" t="s">
        <v>208</v>
      </c>
      <c r="D45" s="371" t="s">
        <v>305</v>
      </c>
      <c r="E45" s="371"/>
      <c r="F45" s="98">
        <v>1</v>
      </c>
      <c r="H45" s="370" t="s">
        <v>326</v>
      </c>
      <c r="I45" s="371"/>
      <c r="J45" s="98">
        <v>21</v>
      </c>
      <c r="R45" s="267"/>
      <c r="S45" s="268"/>
    </row>
    <row r="46" spans="1:19" s="79" customFormat="1">
      <c r="A46" s="81" t="s">
        <v>112</v>
      </c>
      <c r="B46" s="81" t="s">
        <v>209</v>
      </c>
      <c r="D46" s="371" t="s">
        <v>306</v>
      </c>
      <c r="E46" s="371"/>
      <c r="F46" s="98">
        <v>2</v>
      </c>
      <c r="H46" s="370" t="s">
        <v>177</v>
      </c>
      <c r="I46" s="371"/>
      <c r="J46" s="98">
        <v>11</v>
      </c>
      <c r="R46" s="267"/>
      <c r="S46" s="268"/>
    </row>
    <row r="47" spans="1:19" s="79" customFormat="1">
      <c r="D47" s="371" t="s">
        <v>307</v>
      </c>
      <c r="E47" s="371"/>
      <c r="F47" s="98">
        <v>3</v>
      </c>
      <c r="H47" s="370" t="s">
        <v>178</v>
      </c>
      <c r="I47" s="371"/>
      <c r="J47" s="98">
        <v>12</v>
      </c>
      <c r="R47" s="267"/>
      <c r="S47" s="268"/>
    </row>
    <row r="48" spans="1:19" s="79" customFormat="1">
      <c r="D48" s="371" t="s">
        <v>308</v>
      </c>
      <c r="E48" s="371"/>
      <c r="F48" s="98">
        <v>4</v>
      </c>
      <c r="H48" s="370" t="s">
        <v>179</v>
      </c>
      <c r="I48" s="371"/>
      <c r="J48" s="98">
        <v>13</v>
      </c>
      <c r="R48" s="267"/>
      <c r="S48" s="268"/>
    </row>
    <row r="49" spans="1:19" s="79" customFormat="1">
      <c r="D49" s="371" t="s">
        <v>309</v>
      </c>
      <c r="E49" s="371"/>
      <c r="F49" s="98">
        <v>5</v>
      </c>
      <c r="H49" s="370" t="s">
        <v>180</v>
      </c>
      <c r="I49" s="371"/>
      <c r="J49" s="98">
        <v>14</v>
      </c>
      <c r="R49" s="267"/>
      <c r="S49" s="268"/>
    </row>
    <row r="50" spans="1:19" s="79" customFormat="1">
      <c r="A50" s="366" t="s">
        <v>111</v>
      </c>
      <c r="B50" s="366"/>
      <c r="D50" s="371" t="s">
        <v>310</v>
      </c>
      <c r="E50" s="371"/>
      <c r="F50" s="98">
        <v>6</v>
      </c>
      <c r="H50" s="370" t="s">
        <v>181</v>
      </c>
      <c r="I50" s="371"/>
      <c r="J50" s="98">
        <v>15</v>
      </c>
      <c r="R50" s="267"/>
      <c r="S50" s="268"/>
    </row>
    <row r="51" spans="1:19" s="79" customFormat="1">
      <c r="A51" s="81" t="s">
        <v>133</v>
      </c>
      <c r="B51" s="81" t="s">
        <v>134</v>
      </c>
      <c r="D51" s="371" t="s">
        <v>311</v>
      </c>
      <c r="E51" s="371"/>
      <c r="F51" s="98">
        <v>7</v>
      </c>
      <c r="H51" s="370" t="s">
        <v>182</v>
      </c>
      <c r="I51" s="371"/>
      <c r="J51" s="98">
        <v>16</v>
      </c>
      <c r="R51" s="267"/>
      <c r="S51" s="268"/>
    </row>
    <row r="52" spans="1:19" s="79" customFormat="1">
      <c r="A52" s="81" t="s">
        <v>112</v>
      </c>
      <c r="B52" s="81" t="s">
        <v>135</v>
      </c>
      <c r="D52" s="371" t="s">
        <v>312</v>
      </c>
      <c r="E52" s="371"/>
      <c r="F52" s="98">
        <v>11</v>
      </c>
      <c r="H52" s="370" t="s">
        <v>183</v>
      </c>
      <c r="I52" s="371"/>
      <c r="J52" s="98">
        <v>17</v>
      </c>
      <c r="R52" s="267"/>
      <c r="S52" s="268"/>
    </row>
    <row r="53" spans="1:19" s="79" customFormat="1">
      <c r="A53" s="81" t="s">
        <v>113</v>
      </c>
      <c r="B53" s="81" t="s">
        <v>136</v>
      </c>
      <c r="D53" s="371" t="s">
        <v>313</v>
      </c>
      <c r="E53" s="371"/>
      <c r="F53" s="98">
        <v>12</v>
      </c>
      <c r="R53" s="267"/>
      <c r="S53" s="268"/>
    </row>
    <row r="54" spans="1:19" s="79" customFormat="1">
      <c r="D54" s="371" t="s">
        <v>314</v>
      </c>
      <c r="E54" s="371"/>
      <c r="F54" s="98">
        <v>13</v>
      </c>
      <c r="J54" s="308" t="s">
        <v>994</v>
      </c>
      <c r="R54" s="267"/>
      <c r="S54" s="268"/>
    </row>
    <row r="55" spans="1:19" s="79" customFormat="1">
      <c r="A55" s="366" t="s">
        <v>713</v>
      </c>
      <c r="B55" s="366"/>
      <c r="D55" s="371" t="s">
        <v>315</v>
      </c>
      <c r="E55" s="371"/>
      <c r="F55" s="98">
        <v>14</v>
      </c>
      <c r="J55" s="100" t="s">
        <v>998</v>
      </c>
      <c r="R55" s="267"/>
      <c r="S55" s="268"/>
    </row>
    <row r="56" spans="1:19" s="79" customFormat="1">
      <c r="A56" s="81" t="s">
        <v>133</v>
      </c>
      <c r="B56" s="97" t="s">
        <v>742</v>
      </c>
      <c r="D56" s="371" t="s">
        <v>316</v>
      </c>
      <c r="E56" s="371"/>
      <c r="F56" s="98">
        <v>15</v>
      </c>
      <c r="J56" s="100" t="s">
        <v>999</v>
      </c>
      <c r="R56" s="267"/>
      <c r="S56" s="268"/>
    </row>
    <row r="57" spans="1:19" s="79" customFormat="1">
      <c r="A57" s="81" t="s">
        <v>112</v>
      </c>
      <c r="B57" s="97" t="s">
        <v>744</v>
      </c>
      <c r="D57" s="371" t="s">
        <v>317</v>
      </c>
      <c r="E57" s="371"/>
      <c r="F57" s="98">
        <v>16</v>
      </c>
      <c r="J57" s="100" t="s">
        <v>991</v>
      </c>
      <c r="R57" s="267"/>
      <c r="S57" s="268"/>
    </row>
    <row r="58" spans="1:19" s="79" customFormat="1" ht="15" customHeight="1">
      <c r="A58" s="81" t="s">
        <v>113</v>
      </c>
      <c r="B58" s="97" t="s">
        <v>743</v>
      </c>
      <c r="D58" s="371" t="s">
        <v>318</v>
      </c>
      <c r="E58" s="371"/>
      <c r="F58" s="98">
        <v>17</v>
      </c>
      <c r="R58" s="267"/>
      <c r="S58" s="268"/>
    </row>
    <row r="59" spans="1:19" s="79" customFormat="1">
      <c r="A59" s="81" t="s">
        <v>737</v>
      </c>
      <c r="B59" s="97" t="s">
        <v>740</v>
      </c>
      <c r="R59" s="267"/>
      <c r="S59" s="268"/>
    </row>
    <row r="60" spans="1:19" s="79" customFormat="1">
      <c r="A60" s="81" t="s">
        <v>738</v>
      </c>
      <c r="B60" s="97" t="s">
        <v>741</v>
      </c>
      <c r="R60" s="267"/>
      <c r="S60" s="268"/>
    </row>
    <row r="61" spans="1:19" s="79" customFormat="1" ht="25.5">
      <c r="A61" s="81" t="s">
        <v>739</v>
      </c>
      <c r="B61" s="97" t="s">
        <v>725</v>
      </c>
      <c r="R61" s="267"/>
      <c r="S61" s="268"/>
    </row>
    <row r="62" spans="1:19" s="79" customFormat="1">
      <c r="R62" s="267"/>
      <c r="S62" s="268"/>
    </row>
    <row r="63" spans="1:19" s="79" customFormat="1">
      <c r="A63" s="366" t="s">
        <v>121</v>
      </c>
      <c r="B63" s="366"/>
      <c r="C63" s="366"/>
      <c r="D63" s="366"/>
      <c r="E63" s="366"/>
      <c r="F63" s="366"/>
      <c r="R63" s="267"/>
      <c r="S63" s="268"/>
    </row>
    <row r="64" spans="1:19" s="79" customFormat="1">
      <c r="A64" s="82" t="s">
        <v>123</v>
      </c>
      <c r="B64" s="372" t="s">
        <v>132</v>
      </c>
      <c r="C64" s="372"/>
      <c r="D64" s="372"/>
      <c r="E64" s="372"/>
      <c r="F64" s="372"/>
      <c r="R64" s="267"/>
      <c r="S64" s="268"/>
    </row>
    <row r="65" spans="1:19" s="79" customFormat="1">
      <c r="A65" s="82" t="s">
        <v>124</v>
      </c>
      <c r="B65" s="372" t="s">
        <v>131</v>
      </c>
      <c r="C65" s="372"/>
      <c r="D65" s="372"/>
      <c r="E65" s="372"/>
      <c r="F65" s="372"/>
      <c r="R65" s="267"/>
      <c r="S65" s="268"/>
    </row>
    <row r="66" spans="1:19" s="79" customFormat="1">
      <c r="A66" s="82" t="s">
        <v>122</v>
      </c>
      <c r="B66" s="372" t="s">
        <v>130</v>
      </c>
      <c r="C66" s="372"/>
      <c r="D66" s="372"/>
      <c r="E66" s="372"/>
      <c r="F66" s="372"/>
      <c r="R66" s="267"/>
      <c r="S66" s="268"/>
    </row>
    <row r="67" spans="1:19" s="79" customFormat="1">
      <c r="B67" s="83"/>
      <c r="R67" s="267"/>
      <c r="S67" s="268"/>
    </row>
    <row r="68" spans="1:19" s="79" customFormat="1">
      <c r="A68" s="366" t="s">
        <v>552</v>
      </c>
      <c r="B68" s="366"/>
      <c r="C68" s="366"/>
      <c r="D68" s="366"/>
      <c r="E68" s="366"/>
      <c r="F68" s="366"/>
      <c r="R68" s="267"/>
      <c r="S68" s="268"/>
    </row>
    <row r="69" spans="1:19" s="79" customFormat="1">
      <c r="A69" s="82" t="s">
        <v>123</v>
      </c>
      <c r="B69" s="372" t="s">
        <v>555</v>
      </c>
      <c r="C69" s="372"/>
      <c r="D69" s="372"/>
      <c r="E69" s="372"/>
      <c r="F69" s="372"/>
      <c r="R69" s="267"/>
      <c r="S69" s="268"/>
    </row>
    <row r="70" spans="1:19" s="79" customFormat="1">
      <c r="A70" s="82" t="s">
        <v>124</v>
      </c>
      <c r="B70" s="372" t="s">
        <v>557</v>
      </c>
      <c r="C70" s="372"/>
      <c r="D70" s="372"/>
      <c r="E70" s="372"/>
      <c r="F70" s="372"/>
      <c r="R70" s="267"/>
      <c r="S70" s="268"/>
    </row>
    <row r="71" spans="1:19" s="79" customFormat="1">
      <c r="R71" s="267"/>
      <c r="S71" s="268"/>
    </row>
    <row r="72" spans="1:19" s="79" customFormat="1">
      <c r="A72" s="366" t="s">
        <v>868</v>
      </c>
      <c r="B72" s="366"/>
      <c r="C72" s="366"/>
      <c r="D72" s="366"/>
      <c r="E72" s="366"/>
      <c r="F72" s="366"/>
      <c r="R72" s="267"/>
      <c r="S72" s="268"/>
    </row>
    <row r="73" spans="1:19" s="79" customFormat="1">
      <c r="A73" s="82" t="s">
        <v>123</v>
      </c>
      <c r="B73" s="372" t="s">
        <v>871</v>
      </c>
      <c r="C73" s="372"/>
      <c r="D73" s="372"/>
      <c r="E73" s="372"/>
      <c r="F73" s="372"/>
      <c r="R73" s="267"/>
      <c r="S73" s="268"/>
    </row>
    <row r="74" spans="1:19" s="79" customFormat="1">
      <c r="A74" s="82" t="s">
        <v>124</v>
      </c>
      <c r="B74" s="372" t="s">
        <v>872</v>
      </c>
      <c r="C74" s="372"/>
      <c r="D74" s="372"/>
      <c r="E74" s="372"/>
      <c r="F74" s="372"/>
      <c r="R74" s="267"/>
      <c r="S74" s="268"/>
    </row>
    <row r="75" spans="1:19" s="79" customFormat="1">
      <c r="R75" s="267"/>
      <c r="S75" s="268"/>
    </row>
    <row r="76" spans="1:19" s="79" customFormat="1">
      <c r="A76" s="366" t="s">
        <v>114</v>
      </c>
      <c r="B76" s="366"/>
      <c r="C76" s="366"/>
      <c r="D76" s="366"/>
      <c r="E76" s="366"/>
      <c r="F76" s="366"/>
      <c r="R76" s="267"/>
      <c r="S76" s="268"/>
    </row>
    <row r="77" spans="1:19" s="79" customFormat="1">
      <c r="A77" s="82" t="s">
        <v>108</v>
      </c>
      <c r="B77" s="372" t="s">
        <v>1690</v>
      </c>
      <c r="C77" s="372"/>
      <c r="D77" s="372"/>
      <c r="E77" s="372"/>
      <c r="F77" s="372"/>
      <c r="R77" s="267"/>
      <c r="S77" s="268"/>
    </row>
    <row r="78" spans="1:19" s="79" customFormat="1" ht="15">
      <c r="A78" s="82" t="s">
        <v>109</v>
      </c>
      <c r="B78" s="372" t="s">
        <v>1691</v>
      </c>
      <c r="C78" s="372"/>
      <c r="D78" s="372"/>
      <c r="E78" s="372"/>
      <c r="F78" s="372"/>
      <c r="R78" s="267"/>
      <c r="S78" s="268"/>
    </row>
    <row r="79" spans="1:19" s="79" customFormat="1">
      <c r="A79" s="82" t="s">
        <v>81</v>
      </c>
      <c r="B79" s="372" t="s">
        <v>1692</v>
      </c>
      <c r="C79" s="372"/>
      <c r="D79" s="372"/>
      <c r="E79" s="372"/>
      <c r="F79" s="372"/>
      <c r="R79" s="267"/>
      <c r="S79" s="268"/>
    </row>
    <row r="80" spans="1:19" s="79" customFormat="1">
      <c r="R80" s="267"/>
      <c r="S80" s="268"/>
    </row>
    <row r="81" spans="1:21" s="79" customFormat="1">
      <c r="A81" s="366" t="s">
        <v>1610</v>
      </c>
      <c r="B81" s="366"/>
      <c r="D81" s="366" t="s">
        <v>1655</v>
      </c>
      <c r="E81" s="366"/>
      <c r="R81" s="267"/>
      <c r="S81" s="268"/>
    </row>
    <row r="82" spans="1:21" s="79" customFormat="1">
      <c r="A82" s="381">
        <v>1.6</v>
      </c>
      <c r="B82" s="381"/>
      <c r="D82" s="381" t="b">
        <v>0</v>
      </c>
      <c r="E82" s="381"/>
      <c r="R82" s="267"/>
      <c r="S82" s="268"/>
    </row>
    <row r="83" spans="1:21" s="79" customFormat="1">
      <c r="R83" s="267"/>
      <c r="S83" s="268"/>
    </row>
    <row r="84" spans="1:21" s="79" customFormat="1">
      <c r="B84" s="84"/>
      <c r="R84" s="267"/>
      <c r="S84" s="268"/>
    </row>
    <row r="85" spans="1:21" s="79" customFormat="1">
      <c r="A85" s="61"/>
      <c r="B85" s="61"/>
      <c r="C85" s="61"/>
      <c r="D85" s="61"/>
      <c r="E85" s="61"/>
      <c r="F85" s="61"/>
      <c r="G85" s="61"/>
      <c r="M85" s="380" t="s">
        <v>1604</v>
      </c>
      <c r="N85" s="380"/>
      <c r="R85" s="267"/>
      <c r="S85" s="268"/>
    </row>
    <row r="86" spans="1:21" s="79" customFormat="1">
      <c r="A86" s="366" t="s">
        <v>416</v>
      </c>
      <c r="B86" s="366"/>
      <c r="C86" s="366"/>
      <c r="D86" s="61"/>
      <c r="E86" s="61"/>
      <c r="F86" s="366" t="s">
        <v>498</v>
      </c>
      <c r="G86" s="366"/>
      <c r="H86" s="168" t="s">
        <v>521</v>
      </c>
      <c r="J86" s="366" t="s">
        <v>559</v>
      </c>
      <c r="K86" s="366"/>
      <c r="R86" s="267"/>
      <c r="S86" s="268"/>
    </row>
    <row r="87" spans="1:21" s="79" customFormat="1">
      <c r="A87" s="127" t="s">
        <v>417</v>
      </c>
      <c r="B87" s="127" t="s">
        <v>414</v>
      </c>
      <c r="C87" s="127" t="s">
        <v>415</v>
      </c>
      <c r="D87" s="61"/>
      <c r="E87" s="61"/>
      <c r="F87" s="169">
        <v>1</v>
      </c>
      <c r="G87" s="173" t="s">
        <v>523</v>
      </c>
      <c r="H87" s="172">
        <f>COUNTA(ctx_menu_titles)</f>
        <v>47</v>
      </c>
      <c r="J87" s="182" t="s">
        <v>575</v>
      </c>
      <c r="K87" s="183" t="s">
        <v>656</v>
      </c>
      <c r="M87" s="374" t="s">
        <v>86</v>
      </c>
      <c r="N87" s="375"/>
      <c r="R87" s="267"/>
      <c r="S87" s="268"/>
    </row>
    <row r="88" spans="1:21">
      <c r="A88" s="82" t="s">
        <v>418</v>
      </c>
      <c r="B88" s="85" t="s">
        <v>419</v>
      </c>
      <c r="C88" s="85" t="s">
        <v>433</v>
      </c>
      <c r="F88" s="169">
        <v>2</v>
      </c>
      <c r="G88" s="173" t="s">
        <v>524</v>
      </c>
      <c r="H88" s="79"/>
      <c r="I88" s="79"/>
      <c r="J88" s="182" t="s">
        <v>576</v>
      </c>
      <c r="K88" s="184" t="s">
        <v>657</v>
      </c>
      <c r="M88" s="376"/>
      <c r="N88" s="377"/>
      <c r="O88" s="79"/>
      <c r="P88" s="79"/>
      <c r="Q88" s="79"/>
      <c r="R88" s="267"/>
      <c r="S88" s="268"/>
      <c r="U88" s="79"/>
    </row>
    <row r="89" spans="1:21">
      <c r="A89" s="82" t="s">
        <v>418</v>
      </c>
      <c r="B89" s="85" t="s">
        <v>420</v>
      </c>
      <c r="C89" s="85" t="s">
        <v>434</v>
      </c>
      <c r="F89" s="169">
        <v>3</v>
      </c>
      <c r="G89" s="173" t="s">
        <v>412</v>
      </c>
      <c r="H89" s="79"/>
      <c r="I89" s="79"/>
      <c r="J89" s="182" t="s">
        <v>577</v>
      </c>
      <c r="K89" s="183" t="s">
        <v>658</v>
      </c>
      <c r="M89" s="379">
        <v>0</v>
      </c>
      <c r="N89" s="379"/>
      <c r="O89" s="79"/>
      <c r="P89" s="79"/>
      <c r="Q89" s="79"/>
      <c r="R89" s="267"/>
      <c r="S89" s="268"/>
      <c r="U89" s="79"/>
    </row>
    <row r="90" spans="1:21">
      <c r="A90" s="82" t="s">
        <v>418</v>
      </c>
      <c r="B90" s="85" t="s">
        <v>421</v>
      </c>
      <c r="C90" s="85" t="s">
        <v>435</v>
      </c>
      <c r="F90" s="169">
        <v>4</v>
      </c>
      <c r="G90" s="173" t="s">
        <v>411</v>
      </c>
      <c r="H90" s="79"/>
      <c r="I90" s="79"/>
      <c r="J90" s="182" t="s">
        <v>578</v>
      </c>
      <c r="K90" s="183" t="s">
        <v>411</v>
      </c>
      <c r="O90" s="79"/>
      <c r="P90" s="79"/>
      <c r="Q90" s="79"/>
      <c r="R90" s="267"/>
      <c r="S90" s="268"/>
      <c r="U90" s="79"/>
    </row>
    <row r="91" spans="1:21">
      <c r="A91" s="82" t="s">
        <v>418</v>
      </c>
      <c r="B91" s="85" t="s">
        <v>422</v>
      </c>
      <c r="C91" s="85" t="s">
        <v>436</v>
      </c>
      <c r="F91" s="169">
        <v>5</v>
      </c>
      <c r="G91" s="173" t="s">
        <v>410</v>
      </c>
      <c r="H91" s="79"/>
      <c r="J91" s="182" t="s">
        <v>579</v>
      </c>
      <c r="K91" s="183" t="s">
        <v>412</v>
      </c>
      <c r="M91" s="374" t="s">
        <v>115</v>
      </c>
      <c r="N91" s="375"/>
      <c r="O91" s="79"/>
      <c r="P91" s="79"/>
      <c r="Q91" s="79"/>
      <c r="R91" s="267"/>
      <c r="S91" s="268"/>
      <c r="U91" s="79"/>
    </row>
    <row r="92" spans="1:21">
      <c r="A92" s="82" t="s">
        <v>418</v>
      </c>
      <c r="B92" s="85" t="s">
        <v>423</v>
      </c>
      <c r="C92" s="85" t="s">
        <v>437</v>
      </c>
      <c r="F92" s="169">
        <v>6</v>
      </c>
      <c r="G92" s="174" t="s">
        <v>525</v>
      </c>
      <c r="H92" s="79"/>
      <c r="J92" s="182" t="s">
        <v>580</v>
      </c>
      <c r="K92" s="188" t="s">
        <v>410</v>
      </c>
      <c r="M92" s="376"/>
      <c r="N92" s="377"/>
      <c r="O92" s="79"/>
      <c r="P92" s="79"/>
      <c r="Q92" s="79"/>
      <c r="R92" s="267"/>
      <c r="S92" s="268"/>
      <c r="U92" s="79"/>
    </row>
    <row r="93" spans="1:21">
      <c r="A93" s="82" t="s">
        <v>418</v>
      </c>
      <c r="B93" s="85" t="s">
        <v>424</v>
      </c>
      <c r="C93" s="85" t="s">
        <v>438</v>
      </c>
      <c r="F93" s="169">
        <v>7</v>
      </c>
      <c r="G93" s="173" t="s">
        <v>526</v>
      </c>
      <c r="H93" s="79"/>
      <c r="J93" s="182" t="s">
        <v>581</v>
      </c>
      <c r="K93" s="184" t="s">
        <v>659</v>
      </c>
      <c r="M93" s="378">
        <v>44264</v>
      </c>
      <c r="N93" s="378"/>
      <c r="O93" s="79"/>
      <c r="P93" s="79"/>
      <c r="Q93" s="79"/>
      <c r="R93" s="267"/>
      <c r="S93" s="268"/>
      <c r="U93" s="79"/>
    </row>
    <row r="94" spans="1:21">
      <c r="A94" s="82" t="s">
        <v>418</v>
      </c>
      <c r="B94" s="85" t="s">
        <v>425</v>
      </c>
      <c r="C94" s="85" t="s">
        <v>439</v>
      </c>
      <c r="F94" s="169">
        <v>8</v>
      </c>
      <c r="G94" s="173" t="s">
        <v>527</v>
      </c>
      <c r="H94" s="79"/>
      <c r="J94" s="182" t="s">
        <v>582</v>
      </c>
      <c r="K94" s="188" t="s">
        <v>526</v>
      </c>
      <c r="O94" s="79"/>
      <c r="P94" s="79"/>
      <c r="Q94" s="79"/>
      <c r="R94" s="267"/>
      <c r="S94" s="268"/>
      <c r="U94" s="79"/>
    </row>
    <row r="95" spans="1:21">
      <c r="A95" s="82" t="s">
        <v>418</v>
      </c>
      <c r="B95" s="85" t="s">
        <v>426</v>
      </c>
      <c r="C95" s="85" t="s">
        <v>440</v>
      </c>
      <c r="F95" s="169">
        <v>9</v>
      </c>
      <c r="G95" s="173" t="s">
        <v>528</v>
      </c>
      <c r="H95" s="79"/>
      <c r="J95" s="182" t="s">
        <v>583</v>
      </c>
      <c r="K95" s="188" t="s">
        <v>527</v>
      </c>
      <c r="M95" s="374" t="s">
        <v>116</v>
      </c>
      <c r="N95" s="375"/>
      <c r="O95" s="79"/>
      <c r="P95" s="79"/>
      <c r="Q95" s="79"/>
      <c r="R95" s="267"/>
      <c r="S95" s="268"/>
      <c r="U95" s="79"/>
    </row>
    <row r="96" spans="1:21">
      <c r="A96" s="82" t="s">
        <v>418</v>
      </c>
      <c r="B96" s="85" t="s">
        <v>427</v>
      </c>
      <c r="C96" s="85" t="s">
        <v>441</v>
      </c>
      <c r="F96" s="169">
        <v>10</v>
      </c>
      <c r="G96" s="173" t="s">
        <v>1016</v>
      </c>
      <c r="H96" s="79"/>
      <c r="J96" s="182" t="s">
        <v>584</v>
      </c>
      <c r="K96" s="183" t="s">
        <v>660</v>
      </c>
      <c r="M96" s="376"/>
      <c r="N96" s="377"/>
      <c r="O96" s="79"/>
      <c r="P96" s="79"/>
      <c r="Q96" s="79"/>
      <c r="R96" s="267"/>
      <c r="S96" s="268"/>
      <c r="U96" s="79"/>
    </row>
    <row r="97" spans="1:21">
      <c r="A97" s="82" t="s">
        <v>418</v>
      </c>
      <c r="B97" s="82" t="s">
        <v>935</v>
      </c>
      <c r="C97" s="82" t="s">
        <v>938</v>
      </c>
      <c r="F97" s="169">
        <v>11</v>
      </c>
      <c r="G97" s="173" t="s">
        <v>1015</v>
      </c>
      <c r="H97" s="79"/>
      <c r="J97" s="182" t="s">
        <v>586</v>
      </c>
      <c r="K97" s="188" t="s">
        <v>1016</v>
      </c>
      <c r="M97" s="379">
        <v>0</v>
      </c>
      <c r="N97" s="379"/>
      <c r="O97" s="79"/>
      <c r="P97" s="79"/>
      <c r="Q97" s="79"/>
      <c r="R97" s="267"/>
      <c r="S97" s="268"/>
      <c r="U97" s="79"/>
    </row>
    <row r="98" spans="1:21">
      <c r="A98" s="82" t="s">
        <v>418</v>
      </c>
      <c r="B98" s="82" t="s">
        <v>936</v>
      </c>
      <c r="C98" s="82" t="s">
        <v>939</v>
      </c>
      <c r="F98" s="169">
        <v>12</v>
      </c>
      <c r="G98" s="173" t="s">
        <v>1017</v>
      </c>
      <c r="H98" s="79"/>
      <c r="J98" s="182" t="s">
        <v>587</v>
      </c>
      <c r="K98" s="188" t="s">
        <v>1015</v>
      </c>
      <c r="O98" s="79"/>
      <c r="P98" s="79"/>
      <c r="Q98" s="79"/>
      <c r="R98" s="267"/>
      <c r="S98" s="268"/>
      <c r="U98" s="79"/>
    </row>
    <row r="99" spans="1:21">
      <c r="A99" s="82" t="s">
        <v>418</v>
      </c>
      <c r="B99" s="82" t="s">
        <v>937</v>
      </c>
      <c r="C99" s="82" t="s">
        <v>940</v>
      </c>
      <c r="F99" s="169">
        <v>13</v>
      </c>
      <c r="G99" s="173" t="s">
        <v>1018</v>
      </c>
      <c r="H99" s="79"/>
      <c r="J99" s="182" t="s">
        <v>588</v>
      </c>
      <c r="K99" s="188" t="s">
        <v>1017</v>
      </c>
      <c r="M99" s="79"/>
      <c r="N99" s="79"/>
      <c r="O99" s="79"/>
      <c r="P99" s="79"/>
      <c r="Q99" s="79"/>
      <c r="R99" s="267"/>
      <c r="S99" s="268"/>
      <c r="U99" s="79"/>
    </row>
    <row r="100" spans="1:21">
      <c r="A100" s="82" t="s">
        <v>418</v>
      </c>
      <c r="B100" s="85" t="s">
        <v>428</v>
      </c>
      <c r="C100" s="85" t="s">
        <v>442</v>
      </c>
      <c r="F100" s="169">
        <v>14</v>
      </c>
      <c r="G100" s="173" t="s">
        <v>1050</v>
      </c>
      <c r="H100" s="79"/>
      <c r="J100" s="182" t="s">
        <v>589</v>
      </c>
      <c r="K100" s="188" t="s">
        <v>1018</v>
      </c>
      <c r="M100" s="79"/>
      <c r="N100" s="79"/>
      <c r="O100" s="79"/>
      <c r="P100" s="79"/>
      <c r="Q100" s="79"/>
      <c r="R100" s="267"/>
      <c r="S100" s="268"/>
      <c r="U100" s="79"/>
    </row>
    <row r="101" spans="1:21">
      <c r="A101" s="82" t="s">
        <v>418</v>
      </c>
      <c r="B101" s="85" t="s">
        <v>429</v>
      </c>
      <c r="C101" s="85" t="s">
        <v>443</v>
      </c>
      <c r="F101" s="169">
        <v>15</v>
      </c>
      <c r="G101" s="173" t="s">
        <v>529</v>
      </c>
      <c r="H101" s="79"/>
      <c r="J101" s="182" t="s">
        <v>590</v>
      </c>
      <c r="K101" s="188" t="s">
        <v>1058</v>
      </c>
      <c r="L101" s="181"/>
      <c r="M101" s="79"/>
      <c r="N101" s="79"/>
      <c r="O101" s="79"/>
      <c r="P101" s="79"/>
      <c r="Q101" s="79"/>
      <c r="R101" s="267"/>
      <c r="S101" s="268"/>
      <c r="U101" s="79"/>
    </row>
    <row r="102" spans="1:21">
      <c r="A102" s="82" t="s">
        <v>418</v>
      </c>
      <c r="B102" s="82" t="s">
        <v>948</v>
      </c>
      <c r="C102" s="82" t="s">
        <v>952</v>
      </c>
      <c r="F102" s="169">
        <v>16</v>
      </c>
      <c r="G102" s="173" t="s">
        <v>531</v>
      </c>
      <c r="H102" s="79"/>
      <c r="J102" s="182" t="s">
        <v>591</v>
      </c>
      <c r="K102" s="188" t="s">
        <v>529</v>
      </c>
      <c r="L102" s="181"/>
      <c r="M102" s="79"/>
      <c r="N102" s="79"/>
      <c r="O102" s="79"/>
      <c r="P102" s="79"/>
      <c r="Q102" s="79"/>
      <c r="R102" s="267"/>
      <c r="S102" s="268"/>
      <c r="U102" s="79"/>
    </row>
    <row r="103" spans="1:21">
      <c r="A103" s="82" t="s">
        <v>418</v>
      </c>
      <c r="B103" s="82" t="s">
        <v>949</v>
      </c>
      <c r="C103" s="82" t="s">
        <v>953</v>
      </c>
      <c r="F103" s="169">
        <v>17</v>
      </c>
      <c r="G103" s="173" t="s">
        <v>530</v>
      </c>
      <c r="H103" s="79"/>
      <c r="J103" s="182" t="s">
        <v>639</v>
      </c>
      <c r="K103" s="188" t="s">
        <v>531</v>
      </c>
      <c r="O103" s="79"/>
      <c r="P103" s="79"/>
      <c r="Q103" s="79"/>
      <c r="R103" s="267"/>
      <c r="S103" s="268"/>
      <c r="U103" s="79"/>
    </row>
    <row r="104" spans="1:21">
      <c r="A104" s="82" t="s">
        <v>418</v>
      </c>
      <c r="B104" s="82" t="s">
        <v>950</v>
      </c>
      <c r="C104" s="82" t="s">
        <v>954</v>
      </c>
      <c r="F104" s="169">
        <v>18</v>
      </c>
      <c r="G104" s="173" t="s">
        <v>393</v>
      </c>
      <c r="H104" s="79"/>
      <c r="J104" s="182" t="s">
        <v>640</v>
      </c>
      <c r="K104" s="188" t="s">
        <v>944</v>
      </c>
      <c r="M104" s="374" t="s">
        <v>213</v>
      </c>
      <c r="N104" s="375"/>
      <c r="O104" s="79"/>
      <c r="P104" s="79"/>
      <c r="Q104" s="79"/>
      <c r="R104" s="267"/>
      <c r="S104" s="268"/>
      <c r="U104" s="79"/>
    </row>
    <row r="105" spans="1:21">
      <c r="A105" s="82" t="s">
        <v>418</v>
      </c>
      <c r="B105" s="82" t="s">
        <v>951</v>
      </c>
      <c r="C105" s="82" t="s">
        <v>955</v>
      </c>
      <c r="F105" s="169">
        <v>19</v>
      </c>
      <c r="G105" s="173" t="s">
        <v>532</v>
      </c>
      <c r="H105" s="79"/>
      <c r="J105" s="182" t="s">
        <v>641</v>
      </c>
      <c r="K105" s="188" t="s">
        <v>393</v>
      </c>
      <c r="M105" s="376"/>
      <c r="N105" s="377"/>
      <c r="O105" s="79"/>
      <c r="P105" s="79"/>
      <c r="Q105" s="79"/>
      <c r="R105" s="267"/>
      <c r="S105" s="268"/>
      <c r="U105" s="79"/>
    </row>
    <row r="106" spans="1:21" ht="12.75" customHeight="1">
      <c r="A106" s="82" t="s">
        <v>418</v>
      </c>
      <c r="B106" s="82" t="s">
        <v>1606</v>
      </c>
      <c r="C106" s="82" t="s">
        <v>1608</v>
      </c>
      <c r="F106" s="169">
        <v>20</v>
      </c>
      <c r="G106" s="173" t="s">
        <v>533</v>
      </c>
      <c r="H106" s="79"/>
      <c r="J106" s="182" t="s">
        <v>592</v>
      </c>
      <c r="K106" s="188" t="s">
        <v>1695</v>
      </c>
      <c r="M106" s="373" t="s">
        <v>296</v>
      </c>
      <c r="N106" s="373"/>
      <c r="O106" s="79"/>
      <c r="P106" s="79"/>
      <c r="Q106" s="79"/>
      <c r="R106" s="267"/>
      <c r="S106" s="268"/>
      <c r="U106" s="79"/>
    </row>
    <row r="107" spans="1:21">
      <c r="A107" s="82" t="s">
        <v>418</v>
      </c>
      <c r="B107" s="82" t="s">
        <v>1607</v>
      </c>
      <c r="C107" s="82" t="s">
        <v>1609</v>
      </c>
      <c r="F107" s="169">
        <v>21</v>
      </c>
      <c r="G107" s="173" t="s">
        <v>534</v>
      </c>
      <c r="H107" s="79"/>
      <c r="J107" s="182" t="s">
        <v>593</v>
      </c>
      <c r="K107" s="188" t="s">
        <v>1696</v>
      </c>
      <c r="M107" s="373"/>
      <c r="N107" s="373"/>
      <c r="O107" s="79"/>
      <c r="P107" s="79"/>
      <c r="Q107" s="79"/>
      <c r="R107" s="267"/>
      <c r="S107" s="268"/>
      <c r="U107" s="79"/>
    </row>
    <row r="108" spans="1:21">
      <c r="A108" s="85" t="s">
        <v>53</v>
      </c>
      <c r="B108" s="85" t="s">
        <v>430</v>
      </c>
      <c r="C108" s="85" t="s">
        <v>444</v>
      </c>
      <c r="F108" s="169">
        <v>22</v>
      </c>
      <c r="G108" s="173" t="s">
        <v>535</v>
      </c>
      <c r="H108" s="79"/>
      <c r="J108" s="182" t="s">
        <v>594</v>
      </c>
      <c r="K108" s="188" t="s">
        <v>1697</v>
      </c>
      <c r="O108" s="79"/>
      <c r="P108" s="79"/>
      <c r="Q108" s="79"/>
      <c r="R108" s="267"/>
      <c r="S108" s="268"/>
      <c r="U108" s="79"/>
    </row>
    <row r="109" spans="1:21" ht="13.5" thickBot="1">
      <c r="A109" s="85" t="s">
        <v>53</v>
      </c>
      <c r="B109" s="85" t="s">
        <v>431</v>
      </c>
      <c r="C109" s="85" t="s">
        <v>445</v>
      </c>
      <c r="F109" s="169">
        <v>23</v>
      </c>
      <c r="G109" s="173" t="s">
        <v>536</v>
      </c>
      <c r="H109" s="79"/>
      <c r="J109" s="182" t="s">
        <v>595</v>
      </c>
      <c r="K109" s="183" t="s">
        <v>596</v>
      </c>
      <c r="O109" s="79"/>
      <c r="P109" s="79"/>
      <c r="Q109" s="79"/>
      <c r="R109" s="267"/>
      <c r="S109" s="268"/>
      <c r="U109" s="79"/>
    </row>
    <row r="110" spans="1:21">
      <c r="A110" s="85" t="s">
        <v>28</v>
      </c>
      <c r="B110" s="85" t="s">
        <v>432</v>
      </c>
      <c r="C110" s="85" t="s">
        <v>446</v>
      </c>
      <c r="F110" s="169">
        <v>24</v>
      </c>
      <c r="G110" s="173" t="s">
        <v>537</v>
      </c>
      <c r="J110" s="182" t="s">
        <v>597</v>
      </c>
      <c r="K110" s="188" t="s">
        <v>1666</v>
      </c>
      <c r="M110" s="382" t="s">
        <v>396</v>
      </c>
      <c r="N110" s="383"/>
      <c r="O110" s="79"/>
      <c r="P110" s="382" t="s">
        <v>461</v>
      </c>
      <c r="Q110" s="383"/>
      <c r="R110" s="267"/>
      <c r="S110" s="268"/>
      <c r="U110" s="79"/>
    </row>
    <row r="111" spans="1:21">
      <c r="A111" s="85" t="s">
        <v>28</v>
      </c>
      <c r="B111" s="85" t="s">
        <v>419</v>
      </c>
      <c r="C111" s="85" t="s">
        <v>433</v>
      </c>
      <c r="F111" s="169">
        <v>25</v>
      </c>
      <c r="G111" s="173" t="s">
        <v>538</v>
      </c>
      <c r="H111" s="79"/>
      <c r="J111" s="182" t="s">
        <v>598</v>
      </c>
      <c r="K111" s="188" t="s">
        <v>208</v>
      </c>
      <c r="M111" s="116"/>
      <c r="N111" s="117"/>
      <c r="O111" s="79"/>
      <c r="P111" s="116"/>
      <c r="Q111" s="117"/>
      <c r="R111" s="267"/>
      <c r="S111" s="268"/>
      <c r="U111" s="79"/>
    </row>
    <row r="112" spans="1:21">
      <c r="A112" s="82" t="s">
        <v>418</v>
      </c>
      <c r="B112" s="85" t="s">
        <v>866</v>
      </c>
      <c r="C112" s="85" t="s">
        <v>867</v>
      </c>
      <c r="F112" s="169">
        <v>26</v>
      </c>
      <c r="G112" s="173" t="s">
        <v>539</v>
      </c>
      <c r="H112" s="79"/>
      <c r="J112" s="182" t="s">
        <v>600</v>
      </c>
      <c r="K112" s="188" t="s">
        <v>209</v>
      </c>
      <c r="M112" s="384" t="s">
        <v>396</v>
      </c>
      <c r="N112" s="385"/>
      <c r="O112" s="79"/>
      <c r="P112" s="384" t="s">
        <v>462</v>
      </c>
      <c r="Q112" s="385"/>
      <c r="R112" s="267"/>
      <c r="S112" s="268"/>
      <c r="U112" s="79"/>
    </row>
    <row r="113" spans="1:21">
      <c r="A113" s="82"/>
      <c r="B113" s="85"/>
      <c r="C113" s="85"/>
      <c r="F113" s="169">
        <v>27</v>
      </c>
      <c r="G113" s="173" t="s">
        <v>211</v>
      </c>
      <c r="H113" s="79"/>
      <c r="J113" s="182" t="s">
        <v>601</v>
      </c>
      <c r="K113" s="188" t="s">
        <v>1698</v>
      </c>
      <c r="M113" s="386"/>
      <c r="N113" s="387"/>
      <c r="O113" s="79"/>
      <c r="P113" s="386"/>
      <c r="Q113" s="387"/>
      <c r="R113" s="267"/>
      <c r="S113" s="268"/>
      <c r="U113" s="79"/>
    </row>
    <row r="114" spans="1:21" ht="13.5" thickBot="1">
      <c r="A114" s="85"/>
      <c r="B114" s="85"/>
      <c r="C114" s="85"/>
      <c r="F114" s="169">
        <v>28</v>
      </c>
      <c r="G114" s="173" t="s">
        <v>540</v>
      </c>
      <c r="H114" s="79"/>
      <c r="J114" s="182" t="s">
        <v>602</v>
      </c>
      <c r="K114" s="188" t="s">
        <v>650</v>
      </c>
      <c r="M114" s="393" t="s">
        <v>1658</v>
      </c>
      <c r="N114" s="389"/>
      <c r="O114" s="79"/>
      <c r="P114" s="390" t="s">
        <v>1659</v>
      </c>
      <c r="Q114" s="391"/>
      <c r="R114" s="267"/>
      <c r="S114" s="268"/>
      <c r="U114" s="79"/>
    </row>
    <row r="115" spans="1:21" ht="13.5" thickBot="1">
      <c r="A115" s="85"/>
      <c r="B115" s="85"/>
      <c r="C115" s="85"/>
      <c r="F115" s="169">
        <v>29</v>
      </c>
      <c r="G115" s="173" t="s">
        <v>471</v>
      </c>
      <c r="H115" s="79"/>
      <c r="J115" s="182" t="s">
        <v>603</v>
      </c>
      <c r="K115" s="188" t="s">
        <v>305</v>
      </c>
      <c r="O115" s="79"/>
      <c r="P115" s="130"/>
      <c r="Q115" s="131"/>
      <c r="R115" s="267"/>
      <c r="S115" s="268"/>
      <c r="U115" s="79"/>
    </row>
    <row r="116" spans="1:21">
      <c r="A116" s="85"/>
      <c r="B116" s="85"/>
      <c r="C116" s="85"/>
      <c r="F116" s="169">
        <v>30</v>
      </c>
      <c r="G116" s="173" t="s">
        <v>666</v>
      </c>
      <c r="H116" s="79"/>
      <c r="J116" s="182" t="s">
        <v>604</v>
      </c>
      <c r="K116" s="188" t="s">
        <v>306</v>
      </c>
      <c r="M116" s="382" t="s">
        <v>447</v>
      </c>
      <c r="N116" s="383"/>
      <c r="O116" s="79"/>
      <c r="P116" s="384" t="s">
        <v>463</v>
      </c>
      <c r="Q116" s="385"/>
      <c r="R116" s="267"/>
      <c r="S116" s="268"/>
      <c r="U116" s="79"/>
    </row>
    <row r="117" spans="1:21">
      <c r="A117" s="85"/>
      <c r="B117" s="85"/>
      <c r="C117" s="85"/>
      <c r="F117" s="169">
        <v>31</v>
      </c>
      <c r="G117" s="173" t="s">
        <v>685</v>
      </c>
      <c r="J117" s="182" t="s">
        <v>605</v>
      </c>
      <c r="K117" s="188" t="s">
        <v>307</v>
      </c>
      <c r="M117" s="116"/>
      <c r="N117" s="117"/>
      <c r="O117" s="79"/>
      <c r="P117" s="386"/>
      <c r="Q117" s="387"/>
      <c r="R117" s="267"/>
      <c r="S117" s="268"/>
      <c r="U117" s="79"/>
    </row>
    <row r="118" spans="1:21" ht="13.5" thickBot="1">
      <c r="A118" s="85"/>
      <c r="B118" s="85"/>
      <c r="C118" s="85"/>
      <c r="F118" s="169">
        <v>32</v>
      </c>
      <c r="G118" s="174" t="s">
        <v>755</v>
      </c>
      <c r="J118" s="182" t="s">
        <v>606</v>
      </c>
      <c r="K118" s="188" t="s">
        <v>308</v>
      </c>
      <c r="M118" s="392" t="s">
        <v>448</v>
      </c>
      <c r="N118" s="385"/>
      <c r="O118" s="79"/>
      <c r="P118" s="388">
        <v>44197</v>
      </c>
      <c r="Q118" s="389"/>
      <c r="R118" s="267"/>
      <c r="S118" s="268"/>
      <c r="U118" s="79"/>
    </row>
    <row r="119" spans="1:21">
      <c r="A119" s="85"/>
      <c r="B119" s="85"/>
      <c r="C119" s="85"/>
      <c r="F119" s="169">
        <v>33</v>
      </c>
      <c r="G119" s="174" t="s">
        <v>742</v>
      </c>
      <c r="J119" s="182" t="s">
        <v>607</v>
      </c>
      <c r="K119" s="188" t="s">
        <v>309</v>
      </c>
      <c r="M119" s="386"/>
      <c r="N119" s="387"/>
      <c r="O119" s="79"/>
      <c r="P119" s="79"/>
      <c r="Q119" s="79"/>
      <c r="R119" s="267"/>
      <c r="S119" s="268"/>
      <c r="U119" s="79"/>
    </row>
    <row r="120" spans="1:21" ht="13.5" thickBot="1">
      <c r="A120" s="85"/>
      <c r="B120" s="85"/>
      <c r="C120" s="85"/>
      <c r="F120" s="169">
        <v>34</v>
      </c>
      <c r="G120" s="174" t="s">
        <v>744</v>
      </c>
      <c r="J120" s="182" t="s">
        <v>608</v>
      </c>
      <c r="K120" s="188" t="s">
        <v>310</v>
      </c>
      <c r="M120" s="393">
        <v>0</v>
      </c>
      <c r="N120" s="389"/>
      <c r="O120" s="79"/>
      <c r="P120" s="79"/>
      <c r="Q120" s="79"/>
      <c r="R120" s="267"/>
      <c r="S120" s="268"/>
      <c r="U120" s="79"/>
    </row>
    <row r="121" spans="1:21">
      <c r="F121" s="169">
        <v>35</v>
      </c>
      <c r="G121" s="174" t="s">
        <v>743</v>
      </c>
      <c r="J121" s="182" t="s">
        <v>609</v>
      </c>
      <c r="K121" s="188" t="s">
        <v>311</v>
      </c>
      <c r="O121" s="79"/>
      <c r="P121" s="79"/>
      <c r="Q121" s="79"/>
      <c r="R121" s="267"/>
      <c r="S121" s="268"/>
    </row>
    <row r="122" spans="1:21">
      <c r="F122" s="169">
        <v>36</v>
      </c>
      <c r="G122" s="174" t="s">
        <v>740</v>
      </c>
      <c r="J122" s="182" t="s">
        <v>610</v>
      </c>
      <c r="K122" s="188" t="s">
        <v>312</v>
      </c>
      <c r="O122" s="79"/>
      <c r="P122" s="79"/>
      <c r="Q122" s="79"/>
      <c r="R122" s="267"/>
      <c r="S122" s="268"/>
    </row>
    <row r="123" spans="1:21">
      <c r="F123" s="169">
        <v>37</v>
      </c>
      <c r="G123" s="174" t="s">
        <v>741</v>
      </c>
      <c r="J123" s="182" t="s">
        <v>611</v>
      </c>
      <c r="K123" s="188" t="s">
        <v>313</v>
      </c>
      <c r="O123" s="79"/>
      <c r="P123" s="79"/>
      <c r="Q123" s="79"/>
      <c r="R123" s="267"/>
      <c r="S123" s="268"/>
    </row>
    <row r="124" spans="1:21">
      <c r="F124" s="169">
        <v>38</v>
      </c>
      <c r="G124" s="174" t="s">
        <v>725</v>
      </c>
      <c r="J124" s="182" t="s">
        <v>612</v>
      </c>
      <c r="K124" s="188" t="s">
        <v>314</v>
      </c>
      <c r="O124" s="79"/>
      <c r="P124" s="79"/>
      <c r="Q124" s="79"/>
      <c r="R124" s="267"/>
      <c r="S124" s="268"/>
    </row>
    <row r="125" spans="1:21">
      <c r="A125" s="366" t="s">
        <v>667</v>
      </c>
      <c r="B125" s="366"/>
      <c r="C125" s="366"/>
      <c r="F125" s="169">
        <v>39</v>
      </c>
      <c r="G125" s="173" t="s">
        <v>806</v>
      </c>
      <c r="J125" s="182" t="s">
        <v>613</v>
      </c>
      <c r="K125" s="188" t="s">
        <v>315</v>
      </c>
      <c r="O125" s="79"/>
      <c r="P125" s="79"/>
      <c r="Q125" s="79"/>
      <c r="R125" s="267"/>
      <c r="S125" s="268"/>
    </row>
    <row r="126" spans="1:21">
      <c r="A126" s="198" t="s">
        <v>668</v>
      </c>
      <c r="B126" s="199" t="s">
        <v>680</v>
      </c>
      <c r="C126" s="200" t="s">
        <v>681</v>
      </c>
      <c r="F126" s="169">
        <v>40</v>
      </c>
      <c r="G126" s="173" t="s">
        <v>862</v>
      </c>
      <c r="J126" s="182" t="s">
        <v>614</v>
      </c>
      <c r="K126" s="188" t="s">
        <v>316</v>
      </c>
      <c r="O126" s="79"/>
      <c r="P126" s="79"/>
      <c r="Q126" s="79"/>
      <c r="R126" s="267"/>
      <c r="S126" s="268"/>
    </row>
    <row r="127" spans="1:21">
      <c r="A127" s="198" t="s">
        <v>668</v>
      </c>
      <c r="B127" s="199" t="s">
        <v>670</v>
      </c>
      <c r="C127" s="200" t="s">
        <v>407</v>
      </c>
      <c r="F127" s="169">
        <v>41</v>
      </c>
      <c r="G127" s="173" t="s">
        <v>863</v>
      </c>
      <c r="J127" s="182" t="s">
        <v>615</v>
      </c>
      <c r="K127" s="188" t="s">
        <v>317</v>
      </c>
      <c r="O127" s="79"/>
      <c r="P127" s="79"/>
      <c r="Q127" s="79"/>
      <c r="R127" s="267"/>
      <c r="S127" s="268"/>
    </row>
    <row r="128" spans="1:21">
      <c r="A128" s="198" t="s">
        <v>668</v>
      </c>
      <c r="B128" s="199" t="s">
        <v>671</v>
      </c>
      <c r="C128" s="200" t="s">
        <v>408</v>
      </c>
      <c r="F128" s="169">
        <v>42</v>
      </c>
      <c r="G128" s="173" t="s">
        <v>864</v>
      </c>
      <c r="J128" s="182" t="s">
        <v>616</v>
      </c>
      <c r="K128" s="188" t="s">
        <v>318</v>
      </c>
      <c r="O128" s="79"/>
      <c r="P128" s="79"/>
      <c r="Q128" s="79"/>
      <c r="R128" s="267"/>
      <c r="S128" s="268"/>
    </row>
    <row r="129" spans="1:19">
      <c r="A129" s="198" t="s">
        <v>668</v>
      </c>
      <c r="B129" s="199" t="s">
        <v>672</v>
      </c>
      <c r="C129" s="200" t="s">
        <v>457</v>
      </c>
      <c r="F129" s="169">
        <v>43</v>
      </c>
      <c r="G129" s="173" t="s">
        <v>865</v>
      </c>
      <c r="J129" s="182" t="s">
        <v>617</v>
      </c>
      <c r="K129" s="188" t="s">
        <v>645</v>
      </c>
      <c r="O129" s="79"/>
      <c r="P129" s="79"/>
      <c r="Q129" s="79"/>
      <c r="R129" s="267"/>
      <c r="S129" s="268"/>
    </row>
    <row r="130" spans="1:19">
      <c r="A130" s="198" t="s">
        <v>668</v>
      </c>
      <c r="B130" s="199" t="s">
        <v>678</v>
      </c>
      <c r="C130" s="200" t="s">
        <v>895</v>
      </c>
      <c r="F130" s="169">
        <v>44</v>
      </c>
      <c r="G130" s="173" t="s">
        <v>807</v>
      </c>
      <c r="J130" s="182" t="s">
        <v>618</v>
      </c>
      <c r="K130" s="188" t="s">
        <v>326</v>
      </c>
      <c r="O130" s="79"/>
      <c r="P130" s="79"/>
      <c r="Q130" s="79"/>
      <c r="R130" s="267"/>
      <c r="S130" s="268"/>
    </row>
    <row r="131" spans="1:19">
      <c r="A131" s="198" t="s">
        <v>668</v>
      </c>
      <c r="B131" s="199" t="s">
        <v>679</v>
      </c>
      <c r="C131" s="200" t="s">
        <v>409</v>
      </c>
      <c r="F131" s="169">
        <v>45</v>
      </c>
      <c r="G131" s="173" t="s">
        <v>818</v>
      </c>
      <c r="J131" s="182" t="s">
        <v>619</v>
      </c>
      <c r="K131" s="188" t="s">
        <v>177</v>
      </c>
      <c r="O131" s="79"/>
      <c r="P131" s="79"/>
      <c r="Q131" s="79"/>
      <c r="R131" s="267"/>
      <c r="S131" s="268"/>
    </row>
    <row r="132" spans="1:19">
      <c r="A132" s="198" t="s">
        <v>668</v>
      </c>
      <c r="B132" s="199" t="s">
        <v>673</v>
      </c>
      <c r="C132" s="200" t="s">
        <v>410</v>
      </c>
      <c r="F132" s="169">
        <v>46</v>
      </c>
      <c r="G132" s="173" t="s">
        <v>819</v>
      </c>
      <c r="J132" s="182" t="s">
        <v>620</v>
      </c>
      <c r="K132" s="188" t="s">
        <v>178</v>
      </c>
      <c r="O132" s="79"/>
      <c r="P132" s="79"/>
      <c r="Q132" s="79"/>
      <c r="R132" s="267"/>
      <c r="S132" s="268"/>
    </row>
    <row r="133" spans="1:19">
      <c r="A133" s="198" t="s">
        <v>668</v>
      </c>
      <c r="B133" s="199" t="s">
        <v>674</v>
      </c>
      <c r="C133" s="200" t="s">
        <v>411</v>
      </c>
      <c r="F133" s="169">
        <v>47</v>
      </c>
      <c r="G133" s="173" t="s">
        <v>471</v>
      </c>
      <c r="J133" s="182" t="s">
        <v>621</v>
      </c>
      <c r="K133" s="188" t="s">
        <v>179</v>
      </c>
      <c r="O133" s="79"/>
      <c r="P133" s="79"/>
      <c r="Q133" s="79"/>
      <c r="R133" s="267"/>
      <c r="S133" s="268"/>
    </row>
    <row r="134" spans="1:19">
      <c r="A134" s="198" t="s">
        <v>668</v>
      </c>
      <c r="B134" s="199" t="s">
        <v>675</v>
      </c>
      <c r="C134" s="200" t="s">
        <v>412</v>
      </c>
      <c r="F134" s="169">
        <v>48</v>
      </c>
      <c r="G134" s="173"/>
      <c r="J134" s="182" t="s">
        <v>622</v>
      </c>
      <c r="K134" s="188" t="s">
        <v>180</v>
      </c>
      <c r="O134" s="79"/>
      <c r="P134" s="79"/>
      <c r="Q134" s="79"/>
      <c r="R134" s="267"/>
      <c r="S134" s="268"/>
    </row>
    <row r="135" spans="1:19">
      <c r="A135" s="198" t="s">
        <v>668</v>
      </c>
      <c r="B135" s="199" t="s">
        <v>676</v>
      </c>
      <c r="C135" s="200" t="s">
        <v>413</v>
      </c>
      <c r="J135" s="182" t="s">
        <v>623</v>
      </c>
      <c r="K135" s="188" t="s">
        <v>181</v>
      </c>
      <c r="O135" s="79"/>
      <c r="P135" s="79"/>
      <c r="Q135" s="79"/>
      <c r="R135" s="267"/>
      <c r="S135" s="268"/>
    </row>
    <row r="136" spans="1:19">
      <c r="A136" s="198" t="s">
        <v>668</v>
      </c>
      <c r="B136" s="199" t="s">
        <v>677</v>
      </c>
      <c r="C136" s="200" t="s">
        <v>458</v>
      </c>
      <c r="J136" s="182" t="s">
        <v>624</v>
      </c>
      <c r="K136" s="188" t="s">
        <v>182</v>
      </c>
      <c r="O136" s="79"/>
      <c r="P136" s="79"/>
      <c r="Q136" s="79"/>
      <c r="R136" s="267"/>
      <c r="S136" s="268"/>
    </row>
    <row r="137" spans="1:19">
      <c r="A137" s="195" t="s">
        <v>698</v>
      </c>
      <c r="B137" s="195" t="s">
        <v>695</v>
      </c>
      <c r="C137" s="196" t="s">
        <v>666</v>
      </c>
      <c r="J137" s="182" t="s">
        <v>625</v>
      </c>
      <c r="K137" s="188" t="s">
        <v>183</v>
      </c>
      <c r="O137" s="79"/>
      <c r="P137" s="79"/>
      <c r="Q137" s="79"/>
      <c r="R137" s="267"/>
      <c r="S137" s="268"/>
    </row>
    <row r="138" spans="1:19">
      <c r="A138" s="195" t="s">
        <v>698</v>
      </c>
      <c r="B138" s="197" t="s">
        <v>696</v>
      </c>
      <c r="C138" s="196" t="s">
        <v>1693</v>
      </c>
      <c r="J138" s="182" t="s">
        <v>626</v>
      </c>
      <c r="K138" s="188" t="s">
        <v>534</v>
      </c>
      <c r="O138" s="79"/>
      <c r="P138" s="79"/>
      <c r="Q138" s="79"/>
      <c r="R138" s="267"/>
      <c r="S138" s="268"/>
    </row>
    <row r="139" spans="1:19" ht="191.25">
      <c r="A139" s="195" t="s">
        <v>698</v>
      </c>
      <c r="B139" s="196" t="s">
        <v>697</v>
      </c>
      <c r="C139" s="225" t="s">
        <v>1694</v>
      </c>
      <c r="J139" s="182" t="s">
        <v>627</v>
      </c>
      <c r="K139" s="188" t="s">
        <v>534</v>
      </c>
      <c r="O139" s="79"/>
      <c r="P139" s="79"/>
      <c r="Q139" s="79"/>
      <c r="R139" s="267"/>
      <c r="S139" s="268"/>
    </row>
    <row r="140" spans="1:19">
      <c r="A140" s="195" t="s">
        <v>698</v>
      </c>
      <c r="B140" s="196" t="s">
        <v>699</v>
      </c>
      <c r="C140" s="196" t="s">
        <v>693</v>
      </c>
      <c r="J140" s="182" t="s">
        <v>628</v>
      </c>
      <c r="K140" s="188" t="s">
        <v>536</v>
      </c>
      <c r="O140" s="79"/>
      <c r="P140" s="79"/>
      <c r="Q140" s="79"/>
      <c r="R140" s="267"/>
      <c r="S140" s="268"/>
    </row>
    <row r="141" spans="1:19">
      <c r="A141" s="195" t="s">
        <v>698</v>
      </c>
      <c r="B141" s="196" t="s">
        <v>700</v>
      </c>
      <c r="C141" s="196" t="s">
        <v>706</v>
      </c>
      <c r="J141" s="182" t="s">
        <v>642</v>
      </c>
      <c r="K141" s="188" t="s">
        <v>958</v>
      </c>
      <c r="O141" s="79"/>
      <c r="P141" s="79"/>
      <c r="Q141" s="79"/>
      <c r="R141" s="267"/>
      <c r="S141" s="268"/>
    </row>
    <row r="142" spans="1:19">
      <c r="A142" s="195" t="s">
        <v>698</v>
      </c>
      <c r="B142" s="196" t="s">
        <v>702</v>
      </c>
      <c r="C142" s="196" t="s">
        <v>860</v>
      </c>
      <c r="J142" s="182" t="s">
        <v>629</v>
      </c>
      <c r="K142" s="183" t="s">
        <v>654</v>
      </c>
      <c r="O142" s="79"/>
      <c r="P142" s="79"/>
      <c r="Q142" s="79"/>
      <c r="R142" s="267"/>
      <c r="S142" s="268"/>
    </row>
    <row r="143" spans="1:19">
      <c r="A143" s="195" t="s">
        <v>698</v>
      </c>
      <c r="B143" s="196" t="s">
        <v>703</v>
      </c>
      <c r="C143" s="196" t="s">
        <v>830</v>
      </c>
      <c r="J143" s="182" t="s">
        <v>630</v>
      </c>
      <c r="K143" s="183" t="s">
        <v>655</v>
      </c>
      <c r="O143" s="79"/>
      <c r="P143" s="79"/>
      <c r="Q143" s="79"/>
      <c r="R143" s="267"/>
      <c r="S143" s="268"/>
    </row>
    <row r="144" spans="1:19">
      <c r="A144" s="218" t="s">
        <v>823</v>
      </c>
      <c r="B144" s="221" t="s">
        <v>824</v>
      </c>
      <c r="C144" s="219" t="s">
        <v>855</v>
      </c>
      <c r="J144" s="182" t="s">
        <v>631</v>
      </c>
      <c r="K144" s="188" t="s">
        <v>538</v>
      </c>
      <c r="O144" s="79"/>
      <c r="P144" s="79"/>
      <c r="Q144" s="79"/>
      <c r="R144" s="267"/>
      <c r="S144" s="268"/>
    </row>
    <row r="145" spans="1:19">
      <c r="A145" s="218" t="s">
        <v>698</v>
      </c>
      <c r="B145" s="221" t="s">
        <v>825</v>
      </c>
      <c r="C145" s="221" t="s">
        <v>835</v>
      </c>
      <c r="J145" s="182" t="s">
        <v>632</v>
      </c>
      <c r="K145" s="188" t="s">
        <v>539</v>
      </c>
      <c r="O145" s="79"/>
      <c r="P145" s="79"/>
      <c r="Q145" s="79"/>
      <c r="R145" s="267"/>
      <c r="S145" s="268"/>
    </row>
    <row r="146" spans="1:19">
      <c r="A146" s="218" t="s">
        <v>698</v>
      </c>
      <c r="B146" s="219" t="s">
        <v>826</v>
      </c>
      <c r="C146" s="221" t="s">
        <v>836</v>
      </c>
      <c r="J146" s="182" t="s">
        <v>633</v>
      </c>
      <c r="K146" s="183" t="s">
        <v>652</v>
      </c>
      <c r="O146" s="79"/>
      <c r="P146" s="79"/>
      <c r="Q146" s="79"/>
      <c r="R146" s="267"/>
      <c r="S146" s="268"/>
    </row>
    <row r="147" spans="1:19">
      <c r="A147" s="218" t="s">
        <v>698</v>
      </c>
      <c r="B147" s="219" t="s">
        <v>827</v>
      </c>
      <c r="C147" s="221" t="s">
        <v>832</v>
      </c>
      <c r="J147" s="182" t="s">
        <v>634</v>
      </c>
      <c r="K147" s="183" t="s">
        <v>653</v>
      </c>
      <c r="O147" s="79"/>
      <c r="P147" s="79"/>
      <c r="Q147" s="79"/>
      <c r="R147" s="267"/>
      <c r="S147" s="268"/>
    </row>
    <row r="148" spans="1:19">
      <c r="A148" s="218" t="s">
        <v>698</v>
      </c>
      <c r="B148" s="219" t="s">
        <v>678</v>
      </c>
      <c r="C148" s="219" t="s">
        <v>895</v>
      </c>
      <c r="J148" s="182" t="s">
        <v>635</v>
      </c>
      <c r="K148" s="188" t="s">
        <v>540</v>
      </c>
      <c r="O148" s="79"/>
      <c r="P148" s="79"/>
      <c r="Q148" s="79"/>
      <c r="R148" s="267"/>
      <c r="S148" s="268"/>
    </row>
    <row r="149" spans="1:19">
      <c r="A149" s="218" t="s">
        <v>698</v>
      </c>
      <c r="B149" s="221" t="s">
        <v>679</v>
      </c>
      <c r="C149" s="219" t="s">
        <v>409</v>
      </c>
      <c r="J149" s="182" t="s">
        <v>636</v>
      </c>
      <c r="K149" s="188" t="s">
        <v>251</v>
      </c>
      <c r="O149" s="79"/>
      <c r="P149" s="79"/>
      <c r="Q149" s="79"/>
      <c r="R149" s="267"/>
      <c r="S149" s="268"/>
    </row>
    <row r="150" spans="1:19">
      <c r="A150" s="218" t="s">
        <v>698</v>
      </c>
      <c r="B150" s="219" t="s">
        <v>842</v>
      </c>
      <c r="C150" s="221" t="s">
        <v>837</v>
      </c>
      <c r="J150" s="182" t="s">
        <v>637</v>
      </c>
      <c r="K150" s="188" t="s">
        <v>666</v>
      </c>
      <c r="O150" s="79"/>
      <c r="P150" s="79"/>
      <c r="Q150" s="79"/>
      <c r="R150" s="267"/>
      <c r="S150" s="268"/>
    </row>
    <row r="151" spans="1:19">
      <c r="A151" s="218" t="s">
        <v>698</v>
      </c>
      <c r="B151" s="219" t="s">
        <v>842</v>
      </c>
      <c r="C151" s="221" t="s">
        <v>838</v>
      </c>
      <c r="J151" s="182" t="s">
        <v>638</v>
      </c>
      <c r="K151" s="188" t="s">
        <v>211</v>
      </c>
      <c r="O151" s="79"/>
      <c r="P151" s="79"/>
      <c r="Q151" s="79"/>
      <c r="R151" s="267"/>
      <c r="S151" s="268"/>
    </row>
    <row r="152" spans="1:19">
      <c r="A152" s="218" t="s">
        <v>698</v>
      </c>
      <c r="B152" s="219" t="s">
        <v>842</v>
      </c>
      <c r="C152" s="221" t="s">
        <v>839</v>
      </c>
      <c r="J152" s="85" t="s">
        <v>519</v>
      </c>
      <c r="K152" s="188" t="s">
        <v>471</v>
      </c>
      <c r="O152" s="79"/>
      <c r="P152" s="79"/>
      <c r="Q152" s="79"/>
      <c r="R152" s="267"/>
      <c r="S152" s="268"/>
    </row>
    <row r="153" spans="1:19">
      <c r="A153" s="218" t="s">
        <v>698</v>
      </c>
      <c r="B153" s="219" t="s">
        <v>842</v>
      </c>
      <c r="C153" s="221" t="s">
        <v>840</v>
      </c>
      <c r="J153" s="85" t="s">
        <v>520</v>
      </c>
      <c r="K153" s="188" t="s">
        <v>666</v>
      </c>
      <c r="O153" s="79"/>
      <c r="P153" s="79"/>
      <c r="Q153" s="79"/>
      <c r="R153" s="267"/>
      <c r="S153" s="268"/>
    </row>
    <row r="154" spans="1:19">
      <c r="A154" s="218" t="s">
        <v>698</v>
      </c>
      <c r="B154" s="219" t="s">
        <v>842</v>
      </c>
      <c r="C154" s="221" t="s">
        <v>841</v>
      </c>
      <c r="J154" s="85" t="s">
        <v>664</v>
      </c>
      <c r="K154" s="85" t="s">
        <v>665</v>
      </c>
      <c r="O154" s="79"/>
      <c r="P154" s="79"/>
      <c r="Q154" s="79"/>
      <c r="R154" s="267"/>
      <c r="S154" s="268"/>
    </row>
    <row r="155" spans="1:19">
      <c r="A155" s="227" t="s">
        <v>884</v>
      </c>
      <c r="B155" s="228" t="s">
        <v>885</v>
      </c>
      <c r="C155" s="229" t="s">
        <v>888</v>
      </c>
      <c r="J155" s="182" t="s">
        <v>684</v>
      </c>
      <c r="K155" s="85" t="s">
        <v>685</v>
      </c>
      <c r="O155" s="79"/>
      <c r="P155" s="79"/>
      <c r="Q155" s="79"/>
      <c r="R155" s="267"/>
      <c r="S155" s="268"/>
    </row>
    <row r="156" spans="1:19">
      <c r="A156" s="228" t="s">
        <v>884</v>
      </c>
      <c r="B156" s="228" t="s">
        <v>886</v>
      </c>
      <c r="C156" s="228" t="s">
        <v>891</v>
      </c>
      <c r="J156" s="85" t="s">
        <v>758</v>
      </c>
      <c r="K156" s="214" t="s">
        <v>755</v>
      </c>
      <c r="O156" s="79"/>
      <c r="P156" s="79"/>
      <c r="Q156" s="79"/>
      <c r="R156" s="267"/>
      <c r="S156" s="268"/>
    </row>
    <row r="157" spans="1:19">
      <c r="A157" s="228" t="s">
        <v>884</v>
      </c>
      <c r="B157" s="228" t="s">
        <v>894</v>
      </c>
      <c r="C157" s="228" t="s">
        <v>895</v>
      </c>
      <c r="J157" s="85" t="s">
        <v>759</v>
      </c>
      <c r="K157" s="214" t="s">
        <v>742</v>
      </c>
      <c r="O157" s="79"/>
      <c r="P157" s="79"/>
      <c r="Q157" s="79"/>
      <c r="R157" s="267"/>
      <c r="S157" s="268"/>
    </row>
    <row r="158" spans="1:19">
      <c r="J158" s="85" t="s">
        <v>760</v>
      </c>
      <c r="K158" s="214" t="s">
        <v>744</v>
      </c>
      <c r="O158" s="79"/>
      <c r="P158" s="79"/>
      <c r="Q158" s="79"/>
      <c r="R158" s="267"/>
      <c r="S158" s="268"/>
    </row>
    <row r="159" spans="1:19">
      <c r="J159" s="85" t="s">
        <v>761</v>
      </c>
      <c r="K159" s="214" t="s">
        <v>743</v>
      </c>
      <c r="O159" s="79"/>
      <c r="P159" s="79"/>
      <c r="Q159" s="79"/>
      <c r="R159" s="267"/>
      <c r="S159" s="268"/>
    </row>
    <row r="160" spans="1:19">
      <c r="J160" s="85" t="s">
        <v>762</v>
      </c>
      <c r="K160" s="214" t="s">
        <v>740</v>
      </c>
      <c r="O160" s="79"/>
      <c r="P160" s="79"/>
      <c r="Q160" s="79"/>
      <c r="R160" s="267"/>
      <c r="S160" s="268"/>
    </row>
    <row r="161" spans="10:19">
      <c r="J161" s="85" t="s">
        <v>763</v>
      </c>
      <c r="K161" s="214" t="s">
        <v>741</v>
      </c>
      <c r="O161" s="79"/>
      <c r="P161" s="79"/>
      <c r="Q161" s="79"/>
      <c r="R161" s="267"/>
      <c r="S161" s="268"/>
    </row>
    <row r="162" spans="10:19">
      <c r="J162" s="85" t="s">
        <v>764</v>
      </c>
      <c r="K162" s="214" t="s">
        <v>725</v>
      </c>
      <c r="O162" s="79"/>
      <c r="P162" s="79"/>
      <c r="Q162" s="79"/>
      <c r="R162" s="267"/>
      <c r="S162" s="268"/>
    </row>
    <row r="163" spans="10:19">
      <c r="J163" s="85" t="s">
        <v>794</v>
      </c>
      <c r="K163" s="85" t="s">
        <v>806</v>
      </c>
      <c r="O163" s="79"/>
      <c r="P163" s="79"/>
      <c r="Q163" s="79"/>
      <c r="R163" s="267"/>
      <c r="S163" s="268"/>
    </row>
    <row r="164" spans="10:19">
      <c r="J164" s="85" t="s">
        <v>795</v>
      </c>
      <c r="K164" s="85" t="s">
        <v>862</v>
      </c>
      <c r="O164" s="79"/>
      <c r="P164" s="79"/>
      <c r="Q164" s="79"/>
      <c r="R164" s="267"/>
      <c r="S164" s="268"/>
    </row>
    <row r="165" spans="10:19">
      <c r="J165" s="85" t="s">
        <v>796</v>
      </c>
      <c r="K165" s="85" t="s">
        <v>863</v>
      </c>
      <c r="O165" s="79"/>
      <c r="P165" s="79"/>
      <c r="Q165" s="79"/>
      <c r="R165" s="267"/>
      <c r="S165" s="268"/>
    </row>
    <row r="166" spans="10:19">
      <c r="J166" s="85" t="s">
        <v>797</v>
      </c>
      <c r="K166" s="85" t="s">
        <v>864</v>
      </c>
      <c r="O166" s="79"/>
      <c r="P166" s="79"/>
      <c r="Q166" s="79"/>
      <c r="R166" s="267"/>
      <c r="S166" s="268"/>
    </row>
    <row r="167" spans="10:19">
      <c r="J167" s="85" t="s">
        <v>798</v>
      </c>
      <c r="K167" s="85" t="s">
        <v>865</v>
      </c>
      <c r="O167" s="79"/>
      <c r="P167" s="79"/>
      <c r="Q167" s="79"/>
      <c r="R167" s="267"/>
      <c r="S167" s="268"/>
    </row>
    <row r="168" spans="10:19">
      <c r="J168" s="85" t="s">
        <v>799</v>
      </c>
      <c r="K168" s="85" t="s">
        <v>807</v>
      </c>
      <c r="O168" s="79"/>
      <c r="P168" s="79"/>
      <c r="Q168" s="79"/>
      <c r="R168" s="267"/>
      <c r="S168" s="268"/>
    </row>
    <row r="169" spans="10:19">
      <c r="J169" s="85" t="s">
        <v>821</v>
      </c>
      <c r="K169" s="85" t="s">
        <v>818</v>
      </c>
      <c r="O169" s="79"/>
      <c r="P169" s="79"/>
      <c r="Q169" s="79"/>
      <c r="R169" s="267"/>
      <c r="S169" s="268"/>
    </row>
    <row r="170" spans="10:19">
      <c r="J170" s="85" t="s">
        <v>820</v>
      </c>
      <c r="K170" s="85" t="s">
        <v>819</v>
      </c>
      <c r="O170" s="79"/>
      <c r="P170" s="79"/>
      <c r="Q170" s="79"/>
      <c r="R170" s="267"/>
      <c r="S170" s="268"/>
    </row>
    <row r="171" spans="10:19">
      <c r="J171" s="85" t="s">
        <v>822</v>
      </c>
      <c r="K171" s="85" t="s">
        <v>471</v>
      </c>
      <c r="O171" s="79"/>
      <c r="P171" s="79"/>
      <c r="Q171" s="79"/>
      <c r="R171" s="267"/>
      <c r="S171" s="268"/>
    </row>
    <row r="172" spans="10:19">
      <c r="J172" s="85" t="s">
        <v>878</v>
      </c>
      <c r="K172" s="85" t="s">
        <v>897</v>
      </c>
      <c r="O172" s="79"/>
      <c r="P172" s="79"/>
      <c r="Q172" s="79"/>
      <c r="R172" s="267"/>
      <c r="S172" s="268"/>
    </row>
    <row r="173" spans="10:19">
      <c r="J173" s="85" t="s">
        <v>877</v>
      </c>
      <c r="K173" s="85" t="s">
        <v>880</v>
      </c>
      <c r="O173" s="79"/>
      <c r="P173" s="79"/>
      <c r="Q173" s="79"/>
      <c r="R173" s="267"/>
      <c r="S173" s="268"/>
    </row>
    <row r="174" spans="10:19">
      <c r="J174" s="85" t="s">
        <v>903</v>
      </c>
      <c r="K174" s="85" t="s">
        <v>914</v>
      </c>
      <c r="O174" s="79"/>
      <c r="P174" s="79"/>
      <c r="Q174" s="79"/>
      <c r="R174" s="267"/>
      <c r="S174" s="268"/>
    </row>
    <row r="175" spans="10:19">
      <c r="J175" s="85" t="s">
        <v>905</v>
      </c>
      <c r="K175" s="85" t="s">
        <v>915</v>
      </c>
      <c r="O175" s="79"/>
      <c r="P175" s="79"/>
      <c r="Q175" s="79"/>
      <c r="R175" s="267"/>
      <c r="S175" s="268"/>
    </row>
    <row r="176" spans="10:19">
      <c r="J176" s="85" t="s">
        <v>929</v>
      </c>
      <c r="K176" s="85" t="s">
        <v>920</v>
      </c>
      <c r="O176" s="79"/>
      <c r="P176" s="79"/>
      <c r="Q176" s="79"/>
      <c r="R176" s="267"/>
      <c r="S176" s="268"/>
    </row>
    <row r="177" spans="10:19">
      <c r="J177" s="85" t="s">
        <v>930</v>
      </c>
      <c r="K177" s="85" t="s">
        <v>917</v>
      </c>
      <c r="O177" s="79"/>
      <c r="P177" s="79"/>
      <c r="Q177" s="79"/>
      <c r="R177" s="267"/>
      <c r="S177" s="268"/>
    </row>
    <row r="178" spans="10:19">
      <c r="J178" s="85" t="s">
        <v>931</v>
      </c>
      <c r="K178" s="85" t="s">
        <v>934</v>
      </c>
      <c r="O178" s="79"/>
      <c r="P178" s="79"/>
      <c r="Q178" s="79"/>
      <c r="R178" s="267"/>
      <c r="S178" s="268"/>
    </row>
    <row r="179" spans="10:19">
      <c r="J179" s="85" t="s">
        <v>932</v>
      </c>
      <c r="K179" s="85" t="s">
        <v>916</v>
      </c>
      <c r="O179" s="79"/>
      <c r="P179" s="79"/>
      <c r="Q179" s="79"/>
      <c r="R179" s="267"/>
      <c r="S179" s="268"/>
    </row>
    <row r="180" spans="10:19">
      <c r="J180" s="85" t="s">
        <v>933</v>
      </c>
      <c r="K180" s="85" t="s">
        <v>918</v>
      </c>
      <c r="O180" s="79"/>
      <c r="P180" s="79"/>
      <c r="Q180" s="79"/>
      <c r="R180" s="267"/>
      <c r="S180" s="268"/>
    </row>
    <row r="181" spans="10:19">
      <c r="J181" s="85" t="s">
        <v>912</v>
      </c>
      <c r="K181" s="85" t="s">
        <v>919</v>
      </c>
      <c r="O181" s="79"/>
      <c r="P181" s="79"/>
      <c r="Q181" s="79"/>
      <c r="R181" s="267"/>
      <c r="S181" s="268"/>
    </row>
    <row r="182" spans="10:19">
      <c r="J182" s="85" t="s">
        <v>925</v>
      </c>
      <c r="K182" s="85" t="s">
        <v>927</v>
      </c>
      <c r="O182" s="79"/>
      <c r="P182" s="79"/>
      <c r="Q182" s="79"/>
      <c r="R182" s="267"/>
      <c r="S182" s="268"/>
    </row>
    <row r="183" spans="10:19">
      <c r="J183" s="85" t="s">
        <v>1041</v>
      </c>
      <c r="K183" s="85" t="s">
        <v>1044</v>
      </c>
      <c r="O183" s="79"/>
      <c r="P183" s="79"/>
      <c r="Q183" s="79"/>
      <c r="R183" s="267"/>
      <c r="S183" s="268"/>
    </row>
    <row r="184" spans="10:19">
      <c r="J184" s="85" t="s">
        <v>1042</v>
      </c>
      <c r="K184" s="214" t="s">
        <v>411</v>
      </c>
      <c r="O184" s="79"/>
      <c r="P184" s="79"/>
      <c r="Q184" s="79"/>
      <c r="R184" s="267"/>
      <c r="S184" s="268"/>
    </row>
    <row r="185" spans="10:19">
      <c r="J185" s="85" t="s">
        <v>1043</v>
      </c>
      <c r="K185" s="214" t="s">
        <v>412</v>
      </c>
      <c r="O185" s="79"/>
      <c r="P185" s="79"/>
      <c r="Q185" s="79"/>
      <c r="R185" s="267"/>
      <c r="S185" s="268"/>
    </row>
    <row r="186" spans="10:19">
      <c r="J186" s="82" t="s">
        <v>1055</v>
      </c>
      <c r="K186" s="85" t="s">
        <v>1048</v>
      </c>
      <c r="O186" s="79"/>
      <c r="P186" s="79"/>
      <c r="Q186" s="79"/>
      <c r="R186" s="267"/>
      <c r="S186" s="268"/>
    </row>
    <row r="187" spans="10:19">
      <c r="J187" s="82" t="s">
        <v>1056</v>
      </c>
      <c r="K187" s="82" t="s">
        <v>1058</v>
      </c>
      <c r="O187" s="79"/>
      <c r="P187" s="79"/>
      <c r="Q187" s="79"/>
      <c r="R187" s="267"/>
      <c r="S187" s="268"/>
    </row>
    <row r="188" spans="10:19">
      <c r="J188" s="82" t="s">
        <v>1611</v>
      </c>
      <c r="K188" s="82" t="s">
        <v>1621</v>
      </c>
      <c r="O188" s="79"/>
      <c r="P188" s="79"/>
      <c r="Q188" s="79"/>
      <c r="R188" s="267"/>
      <c r="S188" s="268"/>
    </row>
    <row r="189" spans="10:19">
      <c r="J189" s="82" t="s">
        <v>1612</v>
      </c>
      <c r="K189" s="82" t="s">
        <v>1622</v>
      </c>
      <c r="O189" s="79"/>
      <c r="P189" s="79"/>
      <c r="Q189" s="79"/>
      <c r="R189" s="267"/>
      <c r="S189" s="268"/>
    </row>
    <row r="190" spans="10:19">
      <c r="J190" s="82" t="s">
        <v>1613</v>
      </c>
      <c r="K190" s="82" t="s">
        <v>1623</v>
      </c>
      <c r="O190" s="79"/>
      <c r="P190" s="79"/>
      <c r="Q190" s="79"/>
      <c r="R190" s="267"/>
      <c r="S190" s="268"/>
    </row>
    <row r="191" spans="10:19">
      <c r="J191" s="82" t="s">
        <v>1614</v>
      </c>
      <c r="K191" s="82" t="s">
        <v>1651</v>
      </c>
      <c r="O191" s="79"/>
      <c r="P191" s="79"/>
      <c r="Q191" s="79"/>
      <c r="R191" s="267"/>
      <c r="S191" s="268"/>
    </row>
    <row r="192" spans="10:19">
      <c r="J192" s="82" t="s">
        <v>1617</v>
      </c>
      <c r="K192" s="82" t="s">
        <v>1627</v>
      </c>
      <c r="O192" s="79"/>
      <c r="P192" s="79"/>
      <c r="Q192" s="79"/>
      <c r="R192" s="267"/>
      <c r="S192" s="268"/>
    </row>
    <row r="193" spans="10:19">
      <c r="J193" s="82" t="s">
        <v>1618</v>
      </c>
      <c r="K193" s="82" t="s">
        <v>1624</v>
      </c>
      <c r="O193" s="79"/>
      <c r="P193" s="79"/>
      <c r="Q193" s="79"/>
      <c r="R193" s="267"/>
      <c r="S193" s="268"/>
    </row>
    <row r="194" spans="10:19">
      <c r="J194" s="82" t="s">
        <v>1656</v>
      </c>
      <c r="K194" s="82" t="s">
        <v>1657</v>
      </c>
      <c r="O194" s="79"/>
      <c r="P194" s="79"/>
      <c r="Q194" s="79"/>
      <c r="R194" s="267"/>
      <c r="S194" s="268"/>
    </row>
    <row r="195" spans="10:19">
      <c r="J195" s="85"/>
      <c r="K195" s="85"/>
      <c r="O195" s="79"/>
      <c r="P195" s="79"/>
      <c r="Q195" s="79"/>
      <c r="R195" s="267"/>
      <c r="S195" s="268"/>
    </row>
    <row r="196" spans="10:19">
      <c r="J196" s="85"/>
      <c r="K196" s="85"/>
      <c r="O196" s="79"/>
      <c r="P196" s="79"/>
      <c r="Q196" s="79"/>
      <c r="R196" s="267"/>
      <c r="S196" s="268"/>
    </row>
    <row r="197" spans="10:19">
      <c r="J197" s="85"/>
      <c r="K197" s="85"/>
      <c r="O197" s="79"/>
      <c r="P197" s="79"/>
      <c r="Q197" s="79"/>
      <c r="R197" s="267"/>
      <c r="S197" s="268"/>
    </row>
    <row r="198" spans="10:19">
      <c r="J198" s="85"/>
      <c r="K198" s="85"/>
      <c r="O198" s="79"/>
      <c r="P198" s="79"/>
      <c r="Q198" s="79"/>
      <c r="R198" s="267"/>
      <c r="S198" s="268"/>
    </row>
    <row r="199" spans="10:19">
      <c r="J199" s="85"/>
      <c r="K199" s="85"/>
      <c r="O199" s="79"/>
      <c r="P199" s="79"/>
      <c r="Q199" s="79"/>
      <c r="R199" s="267"/>
      <c r="S199" s="268"/>
    </row>
    <row r="200" spans="10:19">
      <c r="J200" s="85"/>
      <c r="K200" s="85"/>
      <c r="O200" s="79"/>
      <c r="P200" s="79"/>
      <c r="Q200" s="79"/>
      <c r="R200" s="267"/>
      <c r="S200" s="268"/>
    </row>
    <row r="201" spans="10:19">
      <c r="J201" s="85"/>
      <c r="K201" s="85"/>
      <c r="O201" s="79"/>
      <c r="P201" s="79"/>
      <c r="Q201" s="79"/>
      <c r="R201" s="267"/>
      <c r="S201" s="268"/>
    </row>
    <row r="202" spans="10:19">
      <c r="J202" s="85"/>
      <c r="K202" s="85"/>
      <c r="O202" s="79"/>
      <c r="P202" s="79"/>
      <c r="Q202" s="79"/>
      <c r="R202" s="267"/>
      <c r="S202" s="268"/>
    </row>
    <row r="203" spans="10:19">
      <c r="J203" s="85"/>
      <c r="K203" s="85"/>
      <c r="O203" s="79"/>
      <c r="P203" s="79"/>
      <c r="Q203" s="79"/>
      <c r="R203" s="267"/>
      <c r="S203" s="268"/>
    </row>
    <row r="204" spans="10:19">
      <c r="J204" s="85"/>
      <c r="K204" s="85"/>
      <c r="O204" s="79"/>
      <c r="P204" s="79"/>
      <c r="Q204" s="79"/>
      <c r="R204" s="267"/>
      <c r="S204" s="268"/>
    </row>
    <row r="205" spans="10:19">
      <c r="J205" s="85"/>
      <c r="K205" s="85"/>
      <c r="O205" s="79"/>
      <c r="P205" s="79"/>
      <c r="Q205" s="79"/>
      <c r="R205" s="267"/>
      <c r="S205" s="268"/>
    </row>
    <row r="206" spans="10:19">
      <c r="J206" s="85"/>
      <c r="K206" s="85"/>
      <c r="O206" s="79"/>
      <c r="P206" s="79"/>
      <c r="Q206" s="79"/>
      <c r="R206" s="267"/>
      <c r="S206" s="268"/>
    </row>
    <row r="207" spans="10:19">
      <c r="J207" s="85"/>
      <c r="K207" s="85"/>
      <c r="O207" s="79"/>
      <c r="P207" s="79"/>
      <c r="Q207" s="79"/>
      <c r="R207" s="267"/>
      <c r="S207" s="268"/>
    </row>
    <row r="208" spans="10:19">
      <c r="J208" s="85"/>
      <c r="K208" s="85"/>
      <c r="O208" s="79"/>
      <c r="P208" s="79"/>
      <c r="Q208" s="79"/>
      <c r="R208" s="267"/>
      <c r="S208" s="268"/>
    </row>
    <row r="209" spans="10:19">
      <c r="J209" s="85"/>
      <c r="K209" s="85"/>
      <c r="O209" s="79"/>
      <c r="P209" s="79"/>
      <c r="Q209" s="79"/>
      <c r="R209" s="267"/>
      <c r="S209" s="268"/>
    </row>
    <row r="210" spans="10:19">
      <c r="J210" s="85"/>
      <c r="K210" s="85"/>
      <c r="O210" s="79"/>
      <c r="P210" s="79"/>
      <c r="Q210" s="79"/>
      <c r="R210" s="267"/>
      <c r="S210" s="268"/>
    </row>
    <row r="211" spans="10:19">
      <c r="J211" s="85"/>
      <c r="K211" s="85"/>
      <c r="O211" s="79"/>
      <c r="P211" s="79"/>
      <c r="Q211" s="79"/>
      <c r="R211" s="267"/>
      <c r="S211" s="268"/>
    </row>
    <row r="212" spans="10:19">
      <c r="J212" s="85"/>
      <c r="K212" s="85"/>
      <c r="O212" s="79"/>
      <c r="P212" s="79"/>
      <c r="Q212" s="79"/>
      <c r="R212" s="267"/>
      <c r="S212" s="268"/>
    </row>
    <row r="213" spans="10:19">
      <c r="O213" s="79"/>
      <c r="P213" s="79"/>
      <c r="Q213" s="79"/>
      <c r="R213" s="267"/>
      <c r="S213" s="268"/>
    </row>
    <row r="214" spans="10:19">
      <c r="O214" s="79"/>
      <c r="P214" s="79"/>
      <c r="Q214" s="79"/>
      <c r="R214" s="267"/>
      <c r="S214" s="268"/>
    </row>
    <row r="215" spans="10:19">
      <c r="O215" s="79"/>
      <c r="P215" s="79"/>
      <c r="Q215" s="79"/>
      <c r="R215" s="267"/>
      <c r="S215" s="268"/>
    </row>
    <row r="216" spans="10:19">
      <c r="O216" s="79"/>
      <c r="P216" s="79"/>
      <c r="Q216" s="79"/>
      <c r="R216" s="267"/>
      <c r="S216" s="268"/>
    </row>
    <row r="217" spans="10:19">
      <c r="O217" s="79"/>
      <c r="P217" s="79"/>
      <c r="Q217" s="79"/>
      <c r="R217" s="267"/>
      <c r="S217" s="268"/>
    </row>
    <row r="218" spans="10:19">
      <c r="O218" s="79"/>
      <c r="P218" s="79"/>
      <c r="Q218" s="79"/>
      <c r="R218" s="267"/>
      <c r="S218" s="268"/>
    </row>
    <row r="219" spans="10:19">
      <c r="O219" s="79"/>
      <c r="P219" s="79"/>
      <c r="Q219" s="79"/>
      <c r="R219" s="269"/>
      <c r="S219" s="270"/>
    </row>
    <row r="220" spans="10:19">
      <c r="O220" s="79"/>
      <c r="P220" s="79"/>
      <c r="Q220" s="79"/>
    </row>
    <row r="221" spans="10:19">
      <c r="O221" s="79"/>
      <c r="P221" s="79"/>
      <c r="Q221" s="79"/>
    </row>
    <row r="222" spans="10:19">
      <c r="O222" s="79"/>
      <c r="P222" s="79"/>
      <c r="Q222" s="79"/>
    </row>
    <row r="223" spans="10:19">
      <c r="O223" s="79"/>
      <c r="P223" s="79"/>
      <c r="Q223" s="79"/>
    </row>
    <row r="224" spans="10:19">
      <c r="O224" s="79"/>
      <c r="P224" s="79"/>
      <c r="Q224" s="79"/>
    </row>
    <row r="225" spans="15:17">
      <c r="O225" s="79"/>
      <c r="P225" s="79"/>
      <c r="Q225" s="79"/>
    </row>
    <row r="226" spans="15:17">
      <c r="O226" s="79"/>
      <c r="P226" s="79"/>
      <c r="Q226" s="79"/>
    </row>
    <row r="227" spans="15:17">
      <c r="O227" s="79"/>
      <c r="P227" s="79"/>
      <c r="Q227" s="79"/>
    </row>
  </sheetData>
  <sheetProtection algorithmName="SHA-512" hashValue="asGXKkz1oA/JoFE1nAO9LOOyvqxYXjqbXwZKkuIYA5WwvzdpAjmViM4nkgN5txo1Gga496FLzMIWZIWty/eA7w==" saltValue="UY3dOCnqXdCd6B/epjwX3A==" spinCount="100000" sheet="1" objects="1" scenarios="1"/>
  <mergeCells count="70">
    <mergeCell ref="A125:C125"/>
    <mergeCell ref="J86:K86"/>
    <mergeCell ref="P110:Q110"/>
    <mergeCell ref="M116:N116"/>
    <mergeCell ref="P116:Q117"/>
    <mergeCell ref="P118:Q118"/>
    <mergeCell ref="P112:Q113"/>
    <mergeCell ref="P114:Q114"/>
    <mergeCell ref="M118:N119"/>
    <mergeCell ref="M87:N88"/>
    <mergeCell ref="M120:N120"/>
    <mergeCell ref="M112:N113"/>
    <mergeCell ref="M114:N114"/>
    <mergeCell ref="M110:N110"/>
    <mergeCell ref="M89:N89"/>
    <mergeCell ref="A86:C86"/>
    <mergeCell ref="H50:I50"/>
    <mergeCell ref="M85:N85"/>
    <mergeCell ref="H52:I52"/>
    <mergeCell ref="B64:F64"/>
    <mergeCell ref="B65:F65"/>
    <mergeCell ref="B66:F66"/>
    <mergeCell ref="A76:F76"/>
    <mergeCell ref="A68:F68"/>
    <mergeCell ref="B69:F69"/>
    <mergeCell ref="B70:F70"/>
    <mergeCell ref="A55:B55"/>
    <mergeCell ref="A72:F72"/>
    <mergeCell ref="B73:F73"/>
    <mergeCell ref="B74:F74"/>
    <mergeCell ref="A82:B82"/>
    <mergeCell ref="D82:E82"/>
    <mergeCell ref="M106:N107"/>
    <mergeCell ref="M91:N92"/>
    <mergeCell ref="M93:N93"/>
    <mergeCell ref="M95:N96"/>
    <mergeCell ref="M97:N97"/>
    <mergeCell ref="M104:N105"/>
    <mergeCell ref="D50:E50"/>
    <mergeCell ref="D51:E51"/>
    <mergeCell ref="D52:E52"/>
    <mergeCell ref="D56:E56"/>
    <mergeCell ref="D57:E57"/>
    <mergeCell ref="A63:F63"/>
    <mergeCell ref="D55:E55"/>
    <mergeCell ref="D58:E58"/>
    <mergeCell ref="D53:E53"/>
    <mergeCell ref="D54:E54"/>
    <mergeCell ref="B78:F78"/>
    <mergeCell ref="B79:F79"/>
    <mergeCell ref="B77:F77"/>
    <mergeCell ref="F86:G86"/>
    <mergeCell ref="A81:B81"/>
    <mergeCell ref="D81:E81"/>
    <mergeCell ref="B7:C7"/>
    <mergeCell ref="A50:B50"/>
    <mergeCell ref="H44:J44"/>
    <mergeCell ref="H51:I51"/>
    <mergeCell ref="A44:B44"/>
    <mergeCell ref="H45:I45"/>
    <mergeCell ref="D44:F44"/>
    <mergeCell ref="D45:E45"/>
    <mergeCell ref="D46:E46"/>
    <mergeCell ref="D47:E47"/>
    <mergeCell ref="D48:E48"/>
    <mergeCell ref="D49:E49"/>
    <mergeCell ref="H46:I46"/>
    <mergeCell ref="H47:I47"/>
    <mergeCell ref="H48:I48"/>
    <mergeCell ref="H49:I49"/>
  </mergeCells>
  <phoneticPr fontId="13"/>
  <dataValidations disablePrompts="1" count="1">
    <dataValidation type="list" allowBlank="1" showInputMessage="1" sqref="L32" xr:uid="{00000000-0002-0000-0300-000000000000}">
      <formula1>$CI$7:$CM$7</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L14:U18"/>
  <sheetViews>
    <sheetView workbookViewId="0">
      <selection activeCell="B1" sqref="B1"/>
    </sheetView>
  </sheetViews>
  <sheetFormatPr baseColWidth="10" defaultColWidth="5.140625" defaultRowHeight="12.75"/>
  <cols>
    <col min="1" max="16384" width="5.140625" style="2"/>
  </cols>
  <sheetData>
    <row r="14" spans="18:21" ht="14.25">
      <c r="R14" s="51"/>
      <c r="U14" s="57"/>
    </row>
    <row r="17" spans="12:19">
      <c r="S17" s="58"/>
    </row>
    <row r="18" spans="12:19">
      <c r="L18" s="1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L14:U18"/>
  <sheetViews>
    <sheetView workbookViewId="0">
      <selection activeCell="B1" sqref="B1"/>
    </sheetView>
  </sheetViews>
  <sheetFormatPr baseColWidth="10" defaultColWidth="5.140625" defaultRowHeight="12.75"/>
  <cols>
    <col min="1" max="16384" width="5.140625" style="2"/>
  </cols>
  <sheetData>
    <row r="14" spans="18:21" ht="14.25">
      <c r="R14" s="51"/>
      <c r="U14" s="57"/>
    </row>
    <row r="17" spans="12:19">
      <c r="S17" s="58"/>
    </row>
    <row r="18" spans="12:19">
      <c r="L18" s="12"/>
    </row>
  </sheetData>
  <sheetProtection algorithmName="SHA-512" hashValue="1I1pMzer/kHdnllf5Vvx1I5xrb1Tdt6NYz+J97qwXfcWSqvkE+z4j1n4ANBiKqreAc31HR1TsJ1M3tb2l1+pHA==" saltValue="MbT+K6i4iPRzsK8zK/Vg4w==" spinCount="100000" sheet="1" objects="1" scenarios="1"/>
  <phoneticPr fontId="1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
  <sheetViews>
    <sheetView workbookViewId="0"/>
  </sheetViews>
  <sheetFormatPr baseColWidth="10" defaultColWidth="3.7109375" defaultRowHeight="12.75"/>
  <cols>
    <col min="1" max="78" width="3.7109375" style="2"/>
    <col min="79" max="80" width="3.7109375" style="2" customWidth="1"/>
    <col min="81" max="16384" width="3.7109375" style="2"/>
  </cols>
  <sheetData/>
  <sheetProtection algorithmName="SHA-512" hashValue="BvG39EeJFYvXuHDD6v6W7AQDwENlivXtk0OxE910gzHw1IkTUfMCFmrIs7UAj6WKC9DYQ+F3WBgMN3r6nUyP3Q==" saltValue="4vUEfP/aKxEzvACEToeptQ==" spinCount="100000" sheet="1" objects="1" scenarios="1"/>
  <phoneticPr fontId="13"/>
  <pageMargins left="0.7" right="0.7" top="0.75" bottom="0.75" header="0.3" footer="0.3"/>
  <drawing r:id="rId1"/>
</worksheet>
</file>

<file path=customUI/_rels/customUI14.xml.rels><?xml version="1.0" encoding="UTF-8" standalone="yes"?>
<Relationships xmlns="http://schemas.openxmlformats.org/package/2006/relationships"><Relationship Id="NL" Type="http://schemas.openxmlformats.org/officeDocument/2006/relationships/image" Target="images/NL.png"/><Relationship Id="BkMark" Type="http://schemas.openxmlformats.org/officeDocument/2006/relationships/image" Target="images/BkMark.png"/><Relationship Id="insert_last" Type="http://schemas.openxmlformats.org/officeDocument/2006/relationships/image" Target="images/insert_last.png"/><Relationship Id="set" Type="http://schemas.openxmlformats.org/officeDocument/2006/relationships/image" Target="images/set.png"/><Relationship Id="new_gantt" Type="http://schemas.openxmlformats.org/officeDocument/2006/relationships/image" Target="images/new_gantt.png"/><Relationship Id="palette_rose" Type="http://schemas.openxmlformats.org/officeDocument/2006/relationships/image" Target="images/palette_rose.png"/><Relationship Id="start_date" Type="http://schemas.openxmlformats.org/officeDocument/2006/relationships/image" Target="images/start_date.png"/><Relationship Id="palette_PIC" Type="http://schemas.openxmlformats.org/officeDocument/2006/relationships/image" Target="images/palette_PIC.png"/><Relationship Id="members" Type="http://schemas.openxmlformats.org/officeDocument/2006/relationships/image" Target="images/members.png"/><Relationship Id="auto" Type="http://schemas.openxmlformats.org/officeDocument/2006/relationships/image" Target="images/auto.png"/><Relationship Id="palette" Type="http://schemas.openxmlformats.org/officeDocument/2006/relationships/image" Target="images/palette.png"/><Relationship Id="dependance" Type="http://schemas.openxmlformats.org/officeDocument/2006/relationships/image" Target="images/dependance.png"/><Relationship Id="fav2" Type="http://schemas.openxmlformats.org/officeDocument/2006/relationships/image" Target="images/fav2.png"/><Relationship Id="palette_mauve" Type="http://schemas.openxmlformats.org/officeDocument/2006/relationships/image" Target="images/palette_mauve.png"/><Relationship Id="out" Type="http://schemas.openxmlformats.org/officeDocument/2006/relationships/image" Target="images/out.png"/><Relationship Id="modifier" Type="http://schemas.openxmlformats.org/officeDocument/2006/relationships/image" Target="images/modifier.png"/><Relationship Id="refresh" Type="http://schemas.openxmlformats.org/officeDocument/2006/relationships/image" Target="images/refresh.png"/><Relationship Id="in" Type="http://schemas.openxmlformats.org/officeDocument/2006/relationships/image" Target="images/in.png"/><Relationship Id="insert_custom" Type="http://schemas.openxmlformats.org/officeDocument/2006/relationships/image" Target="images/insert_custom.png"/><Relationship Id="help" Type="http://schemas.openxmlformats.org/officeDocument/2006/relationships/image" Target="images/help.png"/><Relationship Id="PO" Type="http://schemas.openxmlformats.org/officeDocument/2006/relationships/image" Target="images/PO.png"/><Relationship Id="UK" Type="http://schemas.openxmlformats.org/officeDocument/2006/relationships/image" Target="images/UK.png"/><Relationship Id="outils" Type="http://schemas.openxmlformats.org/officeDocument/2006/relationships/image" Target="images/outils.png"/><Relationship Id="about" Type="http://schemas.openxmlformats.org/officeDocument/2006/relationships/image" Target="images/about.png"/><Relationship Id="daily" Type="http://schemas.openxmlformats.org/officeDocument/2006/relationships/image" Target="images/daily.png"/><Relationship Id="monthly" Type="http://schemas.openxmlformats.org/officeDocument/2006/relationships/image" Target="images/monthly.png"/><Relationship Id="next" Type="http://schemas.openxmlformats.org/officeDocument/2006/relationships/image" Target="images/next.png"/><Relationship Id="milestone" Type="http://schemas.openxmlformats.org/officeDocument/2006/relationships/image" Target="images/milestone.png"/><Relationship Id="holidays" Type="http://schemas.openxmlformats.org/officeDocument/2006/relationships/image" Target="images/holidays.png"/><Relationship Id="concern" Type="http://schemas.openxmlformats.org/officeDocument/2006/relationships/image" Target="images/concern.png"/><Relationship Id="about_large" Type="http://schemas.openxmlformats.org/officeDocument/2006/relationships/image" Target="images/about_large.png"/><Relationship Id="palette_orange" Type="http://schemas.openxmlformats.org/officeDocument/2006/relationships/image" Target="images/palette_orange.png"/><Relationship Id="supp_tache" Type="http://schemas.openxmlformats.org/officeDocument/2006/relationships/image" Target="images/supp_tache.png"/><Relationship Id="FR" Type="http://schemas.openxmlformats.org/officeDocument/2006/relationships/image" Target="images/FR.png"/><Relationship Id="quarter" Type="http://schemas.openxmlformats.org/officeDocument/2006/relationships/image" Target="images/quarter.png"/><Relationship Id="previous" Type="http://schemas.openxmlformats.org/officeDocument/2006/relationships/image" Target="images/previous.png"/><Relationship Id="add" Type="http://schemas.openxmlformats.org/officeDocument/2006/relationships/image" Target="images/add.png"/><Relationship Id="delete" Type="http://schemas.openxmlformats.org/officeDocument/2006/relationships/image" Target="images/delete.png"/><Relationship Id="weekly" Type="http://schemas.openxmlformats.org/officeDocument/2006/relationships/image" Target="images/weekly.png"/><Relationship Id="supp_serie" Type="http://schemas.openxmlformats.org/officeDocument/2006/relationships/image" Target="images/supp_serie.png"/><Relationship Id="palette_bleu" Type="http://schemas.openxmlformats.org/officeDocument/2006/relationships/image" Target="images/palette_bleu.png"/><Relationship Id="fav" Type="http://schemas.openxmlformats.org/officeDocument/2006/relationships/image" Target="images/fav.png"/><Relationship Id="GE" Type="http://schemas.openxmlformats.org/officeDocument/2006/relationships/image" Target="images/GE.png"/><Relationship Id="langue" Type="http://schemas.openxmlformats.org/officeDocument/2006/relationships/image" Target="images/langue.png"/><Relationship Id="palette_defaut" Type="http://schemas.openxmlformats.org/officeDocument/2006/relationships/image" Target="images/palette_defaut.png"/><Relationship Id="SP" Type="http://schemas.openxmlformats.org/officeDocument/2006/relationships/image" Target="images/SP.png"/><Relationship Id="jours_ouvres" Type="http://schemas.openxmlformats.org/officeDocument/2006/relationships/image" Target="images/jours_ouvres.png"/><Relationship Id="criss" Type="http://schemas.openxmlformats.org/officeDocument/2006/relationships/image" Target="images/criss.png"/></Relationships>
</file>

<file path=customUI/customUI14.xml><?xml version="1.0" encoding="utf-8"?>
<customUI xmlns="http://schemas.microsoft.com/office/2009/07/customui" onLoad="RibbonOnLoad">
  <ribbon startFromScratch="false">
    <tabs>
      <tab id="GANTTCHART" label="GANTT CHART" getVisible="GetVisible" tag="MAIN-RIBBON">
        <group id="customGroup1" tag="customGroup1" getLabel="getLabel1" imageMso="ActionInsertAccess">
          <button id="New_Gantt" tag="New_Gantt" getLabel="getLabel1" size="large" onAction="UI_Universal_Road_Junction" image="new_gantt"/>
          <menu id="AddMenu" tag="AddMenu" getLabel="getLabel1" size="large" image="add">
            <button id="Insert_Below" tag="Insert_Below" getLabel="getLabel1" onAction="UI_Universal_Road_Junction" imageMso="TableRowsInsertBelowExcel"/>
            <button id="Insert_Above" tag="Insert_Above" getLabel="getLabel1" onAction="UI_Universal_Road_Junction" imageMso="TableRowsInsertAboveExcel"/>
            <button id="Insert_Last" tag="Insert_Last" getLabel="getLabel1" onAction="UI_Universal_Road_Junction" image="insert_last"/>
            <button id="Insert_Custom" tag="Insert_Custom" getLabel="getLabel1" onAction="UI_Universal_Road_Junction" image="insert_custom"/>
          </menu>
          <menu id="DeleteMenu" tag="DeleteMenu" getLabel="getLabel1" size="large" imageMso="ActionDelete">
            <button id="Delete_Task" tag="Delete_Task" getLabel="getLabel1" onAction="UI_Universal_Road_Junction" image="supp_tache"/>
            <button id="Delete_Serie" tag="Delete_Serie" getLabel="getLabel1" onAction="UI_Universal_Road_Junction" image="supp_serie"/>
          </menu>
          <menu id="ModifyMenu" tag="ModifyMenu" getLabel="getLabel1" size="large" image="modifier">
            <button id="Make_Parent" tag="Make_Parent" getLabel="getLabel1" onAction="UI_Universal_Road_Junction" image="previous"/>
            <button id="Make_Child" tag="Make_Child" getLabel="getLabel1" onAction="UI_Universal_Road_Junction" image="next"/>
            <button id="Move_Up" tag="Move_Up" getLabel="getLabel1" onAction="UI_Universal_Road_Junction" imageMso="JotNavUIPrevPage"/>
            <button id="Move_Down" tag="Move_Down" getLabel="getLabel1" onAction="UI_Universal_Road_Junction" imageMso="JotNavUINextPage"/>
            <button id="renumber_full" tag="renumber_full" getLabel="getLabel1" onAction="UI_Universal_Road_Junction" imageMso="EditListItems"/>
            <button id="renumber_subs" tag="renumber_subs" getLabel="getLabel1" onAction="UI_Universal_Road_Junction" imageMso="EditListItems"/>
          </menu>
          <menu id="Insert_Milestone" tag="Insert_Milestone" getLabel="getLabel1" size="large" image="milestone">
            <button id="MS_Below" tag="MS_Below" getLabel="getLabel1" onAction="UI_Universal_Road_Junction" imageMso="TableRowsInsertBelowExcel"/>
            <button id="MS_Above" tag="MS_Above" getLabel="getLabel1" onAction="UI_Universal_Road_Junction" imageMso="TableRowsInsertAboveExcel"/>
          </menu>
          <menu id="Dep_Menu" tag="Dep_Menu" getLabel="getLabel1" size="large" image="dependance">
            <button id="Dep_With_Prev" tag="Dep_With_Prev" getLabel="getLabel1" onAction="UI_Universal_Road_Junction"/>
            <button id="Dep_After_Prev" tag="Dep_After_Prev" getLabel="getLabel1" onAction="UI_Universal_Road_Junction"/>
            <button id="Dep_With_Next" tag="Dep_With_Next" getLabel="getLabel1" onAction="UI_Universal_Road_Junction"/>
            <button id="Dep_After_Next" tag="Dep_After_Next" getLabel="getLabel1" onAction="UI_Universal_Road_Junction"/>
            <button id="Dep_Retro_Prev" tag="Dep_Retro_Prev" getLabel="getLabel1" onAction="UI_Universal_Road_Junction"/>
            <button id="Dep_Retro_Next" tag="Dep_Retro_Next" getLabel="getLabel1" onAction="UI_Universal_Road_Junction"/>
            <button id="Dep_Special" tag="Dep_Special" getLabel="getLabel1" onAction="UI_Universal_Road_Junction"/>
            <button id="Dep_Help" tag="Dep_Help" getLabel="getLabel1" onAction="UI_Universal_Road_Junction"/>
          </menu>
        </group>
        <group id="ViewGroup" tag="ViewGroup" getLabel="getLabel1" imageMso="DailyView">
          <button id="View_Daily" tag="View_Daily" getLabel="getLabel1" onAction="UI_Universal_Road_Junction" size="large" imageMso="DailyView"/>
          <button id="View_Weekly" tag="View_Weekly" getLabel="getLabel1" onAction="UI_Universal_Road_Junction" size="large" imageMso="WeeklyView"/>
          <button id="View_Monthly" tag="View_Monthly" getLabel="getLabel1" onAction="UI_Universal_Road_Junction" size="large" imageMso="CalendarMonthDetailsSplitButton"/>
          <button id="View_Quarter" tag="View_Quarter" getLabel="getLabel1" onAction="UI_Universal_Road_Junction" size="large" image="quarter"/>
          <button id="Zoom_In" tag="Zoom_In" getLabel="getLabel1" onAction="UI_Universal_Road_Junction" image="in"/>
          <button id="Zoom_Out" tag="Zoom_Out" getLabel="getLabel1" onAction="UI_Universal_Road_Junction" image="out"/>
          <menu id="Zoom_Fav" tag="Zoom_Fav" getLabel="getLabel1" image="fav">
            <button id="Zoom_Set" tag="Zoom_Set" getLabel="getLabel1" onAction="UI_Universal_Road_Junction" image="set"/>
            <button id="Zoom_Fav2" tag="Zoom_Fav2" getLabel="getLabel1" onAction="UI_Universal_Road_Junction" image="fav2"/>
          </menu>
        </group>
        <group id="GroupOptions" tag="GroupOptions" getLabel="getLabel1" image="jours_ouvres">
          <menu id="Start_Date" tag="Start_Date" getLabel="getLabel1" size="large" imageMso="DateAndTimeInsert">
            <button id="Start_Auto" tag="Start_Auto" getLabel="getLabel1" onAction="UI_Universal_Road_Junction" image="auto"/>
            <button id="Start_Today" tag="Start_Today" getLabel="getLabel1" onAction="UI_Universal_Road_Junction"/>
            <button id="Start_Picker" tag="Start_Picker" getLabel="getLabel1" onAction="UI_Universal_Road_Junction"/>
          </menu>
          <button id="BkMark" tag="BkMark" getLabel="getLabel1" size="large" onAction="UI_Universal_Road_Junction" image="BkMark"/>
          <button id="Criss_Cross" tag="Criss_Cross" getLabel="getLabel1" size="large" onAction="UI_Universal_Road_Junction" image="criss"/>
          <menu id="Work-D" size="large" tag="Work-D" getLabel="getLabel1" image="jours_ouvres">
            <checkBox id="Work_Days" tag="Work_Days" getLabel="getLabel1" getPressed="getpressed_options" onAction="Ribbon_Options"/>
            <checkBox id="Work_Days_All" tag="Work_Days_All" getLabel="getLabel1" getPressed="getpressed_options" onAction="Ribbon_Options"/>
          </menu>
          <menu id="Week-Symbol" tag="Week-Symbol" getLabel="getLabel1">
            <checkBox id="Week_Symbol_CW" label="CW" getPressed="getpressed_options" onAction="Ribbon_Options"/>
            <checkBox id="Week_Symbol_W" label="W" getPressed="getpressed_options" onAction="Ribbon_Options"/>
            <checkBox id="Week_Symbol_S" label="S" getPressed="getpressed_options" onAction="Ribbon_Options"/>
          </menu>
          <menu id="WE-Days" tag="WE-Days" getLabel="getLabel1">
            <checkBox id="Week_End_Days_01" tag="Week_End_Days_01" getLabel="getLabel1" getPressed="getpressed_options" onAction="Ribbon_Options"/>
            <checkBox id="Week_End_Days_02" tag="Week_End_Days_02" getLabel="getLabel1" getPressed="getpressed_options" onAction="Ribbon_Options"/>
            <checkBox id="Week_End_Days_03" tag="Week_End_Days_03" getLabel="getLabel1" getPressed="getpressed_options" onAction="Ribbon_Options"/>
            <checkBox id="Week_End_Days_04" tag="Week_End_Days_04" getLabel="getLabel1" getPressed="getpressed_options" onAction="Ribbon_Options"/>
            <checkBox id="Week_End_Days_05" tag="Week_End_Days_05" getLabel="getLabel1" getPressed="getpressed_options" onAction="Ribbon_Options"/>
            <checkBox id="Week_End_Days_06" tag="Week_End_Days_06" getLabel="getLabel1" getPressed="getpressed_options" onAction="Ribbon_Options"/>
            <checkBox id="Week_End_Days_07" tag="Week_End_Days_07" getLabel="getLabel1" getPressed="getpressed_options" onAction="Ribbon_Options"/>
            <checkBox id="Week_End_Days_08" tag="Week_End_Days_08" getLabel="getLabel1" getPressed="getpressed_options" onAction="Ribbon_Options"/>
            <checkBox id="Week_End_Days_09" tag="Week_End_Days_09" getLabel="getLabel1" getPressed="getpressed_options" onAction="Ribbon_Options"/>
            <checkBox id="Week_End_Days_10" tag="Week_End_Days_10" getLabel="getLabel1" getPressed="getpressed_options" onAction="Ribbon_Options"/>
            <checkBox id="Week_End_Days_11" tag="Week_End_Days_11" getLabel="getLabel1" getPressed="getpressed_options" onAction="Ribbon_Options"/>
            <checkBox id="Week_End_Days_12" tag="Week_End_Days_12" getLabel="getLabel1" getPressed="getpressed_options" onAction="Ribbon_Options"/>
            <checkBox id="Week_End_Days_13" tag="Week_End_Days_13" getLabel="getLabel1" getPressed="getpressed_options" onAction="Ribbon_Options"/>
            <checkBox id="Week_End_Days_14" tag="Week_End_Days_14" getLabel="getLabel1" getPressed="getpressed_options" onAction="Ribbon_Options"/>
          </menu>
          <menu id="first-day" tag="first-day" getLabel="getLabel1">
            <checkBox id="First_Day_1" tag="First_Day_1" getLabel="getLabel1" getPressed="getpressed_options" onAction="Ribbon_Options"/>
            <checkBox id="First_Day_2" tag="First_Day_2" getLabel="getLabel1" getPressed="getpressed_options" onAction="Ribbon_Options"/>
            <checkBox id="First_Day_3" tag="First_Day_3" getLabel="getLabel1" getPressed="getpressed_options" onAction="Ribbon_Options"/>
            <checkBox id="First_Day_4" tag="First_Day_4" getLabel="getLabel1" getPressed="getpressed_options" onAction="Ribbon_Options"/>
            <checkBox id="First_Day_5" tag="First_Day_5" getLabel="getLabel1" getPressed="getpressed_options" onAction="Ribbon_Options"/>
            <checkBox id="First_Day_6" tag="First_Day_6" getLabel="getLabel1" getPressed="getpressed_options" onAction="Ribbon_Options"/>
            <checkBox id="First_Day_7" tag="First_Day_7" getLabel="getLabel1" getPressed="getpressed_options" onAction="Ribbon_Options"/>
            <checkBox id="First_Day_8" tag="First_Day_8" getLabel="getLabel1" getPressed="getpressed_options" onAction="Ribbon_Options"/>
          </menu>
        </group>
        <group id="GroupFilter" tag="GroupFilter" getLabel="getLabel1" imageMso="FilterByResource">
          <menu id="filter_member" tag="filter_member" getLabel="getLabel1" imageMso="FilterByResource">
            <checkBox id="PIC_1" getLabel="getlabel_filters" getVisible="getvisible_filters" onAction="Ribbon_Filter" getPressed="getpressed_filters"/>
            <checkBox id="PIC_2" getLabel="getlabel_filters" getVisible="getvisible_filters" onAction="Ribbon_Filter" getPressed="getpressed_filters"/>
            <checkBox id="PIC_3" getLabel="getlabel_filters" getVisible="getvisible_filters" onAction="Ribbon_Filter" getPressed="getpressed_filters"/>
            <checkBox id="PIC_4" getLabel="getlabel_filters" getVisible="getvisible_filters" onAction="Ribbon_Filter" getPressed="getpressed_filters"/>
            <checkBox id="PIC_5" getLabel="getlabel_filters" getVisible="getvisible_filters" onAction="Ribbon_Filter" getPressed="getpressed_filters"/>
            <checkBox id="PIC_6" getLabel="getlabel_filters" getVisible="getvisible_filters" onAction="Ribbon_Filter" getPressed="getpressed_filters"/>
            <checkBox id="PIC_7" getLabel="getlabel_filters" getVisible="getvisible_filters" onAction="Ribbon_Filter" getPressed="getpressed_filters"/>
            <checkBox id="PIC_8" getLabel="getlabel_filters" getVisible="getvisible_filters" onAction="Ribbon_Filter" getPressed="getpressed_filters"/>
            <checkBox id="PIC_9" getLabel="getlabel_filters" getVisible="getvisible_filters" onAction="Ribbon_Filter" getPressed="getpressed_filters"/>
            <checkBox id="PIC_10" getLabel="getlabel_filters" getVisible="getvisible_filters" onAction="Ribbon_Filter" getPressed="getpressed_filters"/>
            <checkBox id="PIC_11" getLabel="getlabel_filters" getVisible="getvisible_filters" onAction="Ribbon_Filter" getPressed="getpressed_filters"/>
            <checkBox id="PIC_12" getLabel="getlabel_filters" getVisible="getvisible_filters" onAction="Ribbon_Filter" getPressed="getpressed_filters"/>
            <checkBox id="PIC_13" getLabel="getlabel_filters" getVisible="getvisible_filters" onAction="Ribbon_Filter" getPressed="getpressed_filters"/>
            <checkBox id="PIC_14" getLabel="getlabel_filters" getVisible="getvisible_filters" onAction="Ribbon_Filter" getPressed="getpressed_filters"/>
            <checkBox id="PIC_15" getLabel="getlabel_filters" getVisible="getvisible_filters" onAction="Ribbon_Filter" getPressed="getpressed_filters"/>
            <checkBox id="PIC_16" getLabel="getlabel_filters" getVisible="getvisible_filters" onAction="Ribbon_Filter" getPressed="getpressed_filters"/>
            <checkBox id="PIC_17" getLabel="getlabel_filters" getVisible="getvisible_filters" onAction="Ribbon_Filter" getPressed="getpressed_filters"/>
            <checkBox id="PIC_18" getLabel="getlabel_filters" getVisible="getvisible_filters" onAction="Ribbon_Filter" getPressed="getpressed_filters"/>
            <checkBox id="PIC_19" getLabel="getlabel_filters" getVisible="getvisible_filters" onAction="Ribbon_Filter" getPressed="getpressed_filters"/>
            <checkBox id="PIC_20" getLabel="getlabel_filters" getVisible="getvisible_filters" onAction="Ribbon_Filter" getPressed="getpressed_filters"/>
          </menu>
          <menu id="filter_progress" tag="filter_progress" getLabel="getLabel1" imageMso="FilterByResource">
            <button id="Progress_1" tag="Progress_1" getLabel="getLabel1" onAction="Ribbon_Filter_Progress"/>
            <button id="Progress_2" tag="Progress_2" getLabel="getLabel1" onAction="Ribbon_Filter_Progress"/>
            <button id="Progress_5" tag="Progress_5" getLabel="getLabel1" onAction="Ribbon_Filter_Progress"/>
            <button id="Progress_3" tag="Progress_3" getLabel="getLabel1" onAction="Ribbon_Filter_Progress"/>
            <button id="Progress_4" tag="Progress_4" getLabel="getLabel1" onAction="Ribbon_Filter_Progress"/>
          </menu>
          <button id="Cancel_Filter" tag="Cancel_Filter" getLabel="getLabel1" onAction="clear_ribbon_filter" imageMso="FilterClear"/>
        </group>
        <group id="RefreshGroup" tag="RefreshGroup" getLabel="getLabel1" image="outils">
          <button id="Refresh" tag="Refresh" getLabel="getLabel1" size="large" onAction="UI_Universal_Road_Junction" image="refresh"/>
          <menu id="StyleMenu" tag="StyleMenu" getLabel="getLabel1" size="large" imageMso="BorderMoreColorsDialog">
            <button id="Style_Default" tag="Style_Default" getLabel="getLabel1" onAction="UI_Universal_Road_Junction" image="palette_defaut"/>
            <button id="Style_1" tag="Style_1" getLabel="getLabel1" onAction="UI_Universal_Road_Junction" image="palette_bleu"/>
            <button id="Style_2" tag="Style_2" getLabel="getLabel1" onAction="UI_Universal_Road_Junction" image="palette_mauve"/>
            <button id="Style_3" tag="Style_3" getLabel="getLabel1" onAction="UI_Universal_Road_Junction" image="palette_orange"/>
            <button id="Style_4" tag="Style_4" getLabel="getLabel1" onAction="UI_Universal_Road_Junction" image="palette_rose"/>
            <button id="Style_PIC" tag="Style_PIC" getLabel="getLabel1" onAction="UI_Universal_Road_Junction" image="palette_PIC"/>
          </menu>
          <menu id="ToolsMenu" tag="ToolsMenu" getLabel="getLabel1" size="large" image="outils">
            <button id="Update_Members" tag="Update_Members" getLabel="getLabel1" onAction="UI_Universal_Road_Junction" image="members"/>
            <button id="Update_Holidays" tag="Update_Holidays" getLabel="getLabel1" onAction="UI_Universal_Road_Junction" image="holidays"/>
            <button id="Show_Budget" tag="Show_Budget" getLabel="getLabel1" onAction="UI_Universal_Road_Junction" imageMso="CalculatedCurrency"/>
            <button id="Show_Comments" tag="Show_Comments" getLabel="getLabel1" onAction="UI_Universal_Road_Junction" imageMso="ReviewShowAllComments"/>
            <button id="Send_Email" tag="Send_Email" getLabel="getLabel1" onAction="UI_Universal_Road_Junction" imageMso="Forward"/>
            <button id="Adjust_Print" tag="Adjust_Print" getLabel="getLabel1" onAction="UI_Universal_Road_Junction" imageMso="ChangePrinter"/>
            <button id="Full_Screen" tag="Full_Screen" getLabel="getLabel1" onAction="UI_Universal_Road_Junction" imageMso="DiagramFitToContentsClassic"/>
            <button id="Macro_Reminder" tag="Macro_Reminder" getLabel="getLabel1" onAction="UI_Universal_Road_Junction" imageMso="AddReminder"/>
            <button id="Report_Concern" tag="Report_Concern" getLabel="getLabel1" onAction="UI_Universal_Road_Junction" image="concern"/>
          </menu>
          <menu id="TraslateMenu" tag="TraslateMenu" getLabel="getLabel1" size="large" image="langue">
            <button id="TR_EN" label="English" onAction="UI_Universal_Road_Junction" image="UK"/>
            <button id="TR_FR" label="Français" onAction="UI_Universal_Road_Junction" image="FR"/>
            <button id="TR_SP" label="Spanish" onAction="UI_Universal_Road_Junction" image="SP"/>
            <button id="TR_GE" label="German" onAction="UI_Universal_Road_Junction" image="GE"/>
            <button id="TR_PO" label="Português" onAction="UI_Universal_Road_Junction" image="PO"/>
            <button id="TR_NL" label="Nederlands" onAction="UI_Universal_Road_Junction" image="NL"/>
          </menu>
          <menu id="GroupAbout" tag="GroupAbout" getLabel="getLabel1" size="large" image="about_large">
            <button id="Survey" tag="Survey" getLabel="getLabel1" onAction="UI_Universal_Road_Junction" imageMso="Callout"/>
            <button id="Help" tag="Help" getLabel="getLabel1" onAction="UI_Universal_Road_Junction" image="help"/>
            <button id="About" tag="About" getLabel="getLabel1" onAction="UI_Universal_Road_Junction" image="about"/>
          </menu>
        </group>
      </tab>
      <tab id="MyCustomTab3_Not_Used" label="TBD" getVisible="GetVisible" tag="FRANCAIS">
      </tab>
    </tabs>
  </ribbon>
  <contextMenus>
    <contextMenu idMso="ContextMenuCell">
      <button id="CTX_Title" label="GANTT MENU" insertBeforeMso="Cut" imageMso="GanttChartViewGallery"/>
      <menu id="CTX_Insert" tag="AddMenu" getLabel="getLabel1" insertBeforeMso="Cut" imageMso="ActionInsertAccess">
        <button id="CTX_Add_Below" tag="Insert_Below" getLabel="getLabel1" imageMso="TableRowsInsertBelowExcel" onAction="UI_Universal_Road_Junction"/>
        <button id="CTX_Add_Above" tag="Insert_Above" getLabel="getLabel1" imageMso="TableRowsInsertAboveExcel" onAction="UI_Universal_Road_Junction"/>
        <button id="CTX_Add_Last" tag="Insert_Last" getLabel="getLabel1" imageMso="CrossFunctionalFlowchartInsertSwimlane" onAction="UI_Universal_Road_Junction"/>
        <button id="CTX_Add_Custom" tag="Insert_Custom" getLabel="getLabel1" imageMso="BorderDrawGrid" onAction="UI_Universal_Road_Junction"/>
      </menu>
      <menu id="CTX_Delete" tag="DeleteMenu" getLabel="getLabel1" insertBeforeMso="Cut" imageMso="ActionDelete">
        <button id="CTX_Delete_Task" tag="Delete_Task" getLabel="getLabel1" imageMso="SectionMergeWithPrevious" onAction="UI_Universal_Road_Junction"/>
        <button id="CTX_Delete_Serie" tag="Delete_Serie" getLabel="getLabel1" imageMso="SectionRemoveAll" onAction="UI_Universal_Road_Junction"/>
      </menu>
      <menu id="CTX_Modify" tag="ModifyMenu" getLabel="getLabel1" insertBeforeMso="Cut" imageMso="QueryDataDefinition">
        <button id="CTX_Modify_Child" tag="Make_Child" getLabel="getLabel1" imageMso="GroupParagraphLayout" onAction="UI_Universal_Road_Junction"/>
        <button id="CTX_Modify_Parent" tag="Make_Parent" getLabel="getLabel1" imageMso="IndentDecrease" onAction="UI_Universal_Road_Junction"/>
        <button id="CTX_Modify_Up" tag="Move_Up" getLabel="getLabel1" imageMso="JotNavUIPrevPage" onAction="UI_Universal_Road_Junction"/>
        <button id="CTX_Modify_Down" tag="Move_Down" getLabel="getLabel1" imageMso="JotNavUINextPage" onAction="UI_Universal_Road_Junction"/>
        <button id="CTX_Modify_Renumber_Full" tag="renumber_full" getLabel="getLabel1" imageMso="EditListItems" onAction="UI_Universal_Road_Junction"/>
        <button id="CTX_Modify_Renumber_Subs" tag="renumber_subs" getLabel="getLabel1" imageMso="EditListItems" onAction="UI_Universal_Road_Junction"/>
      </menu>
      <menu id="CTX_Milestone" tag="Insert_Milestone" getLabel="getLabel1" insertBeforeMso="Cut" image="milestone">
        <button id="CTX_MS_Below" tag="MS_Below" getLabel="getLabel1" imageMso="TableRowsInsertBelowExcel" onAction="UI_Universal_Road_Junction"/>
        <button id="CTX_MS_Above" tag="MS_Above" getLabel="getLabel1" imageMso="TableRowsInsertAboveExcel" onAction="UI_Universal_Road_Junction"/>
      </menu>
      <menu id="CTX_Dependencies" tag="Dep_Menu" getLabel="getLabel1" insertBeforeMso="Cut" imageMso="AdpDiagramRelationships">
        <button id="CTX_Dep_With_Prev" tag="Dep_With_Prev" getLabel="getLabel1" onAction="UI_Universal_Road_Junction"/>
        <button id="CTX_Dep_After_Prev" tag="Dep_After_Prev" getLabel="getLabel1" onAction="UI_Universal_Road_Junction"/>
        <menuSeparator id="MySeparator4" insertBeforeMso="Cut"/>
        <button id="CTX_Dep_With_Next" tag="Dep_With_Next" getLabel="getLabel1" onAction="UI_Universal_Road_Junction"/>
        <button id="CTX_Dep_After_Next" tag="Dep_After_Next" getLabel="getLabel1" onAction="UI_Universal_Road_Junction"/>
        <menuSeparator id="MySeparator5" insertBeforeMso="Cut"/>
        <button id="CTX_Dep_Special" tag="Dep_Special" getLabel="getLabel1" onAction="UI_Universal_Road_Junction"/>
        <menuSeparator id="MySeparator6" insertBeforeMso="Cut"/>
        <button id="CTX_Dep_Retro_Prev" tag="Dep_Retro_Prev" getLabel="getLabel1" onAction="UI_Universal_Road_Junction"/>
        <button id="CTX_Dep_Retro_Next" tag="Dep_Retro_Next" getLabel="getLabel1" onAction="UI_Universal_Road_Junction"/>
        <menuSeparator id="MySeparator7" insertBeforeMso="Cut"/>
        <button id="CTX_Dep_Help" tag="Dep_Help" getLabel="getLabel1" onAction="UI_Universal_Road_Junction"/>
      </menu>
      <menu id="CTX_Tools" tag="ToolsMenu" getLabel="getLabel1" insertBeforeMso="Cut" imageMso="ControlsGallery">
        <button id="CTX_Tools_Refresh" tag="Refresh" getLabel="getLabel1" imageMso="AccessRefreshAllLists" onAction="UI_Universal_Road_Junction"/>
        <menuSeparator id="MySeparator0" insertBeforeMso="Cut"/>
        <button id="CTX_Tools_Members" tag="Update_Members" getLabel="getLabel1" imageMso="AddOrRemoveAttendees" onAction="UI_Universal_Road_Junction"/>
        <button id="CTX_Tools_Holidays" tag="Update_Holidays" getLabel="getLabel1" imageMso="InsertDrawingCanvas" onAction="UI_Universal_Road_Junction"/>
        <button id="CTX_Tools_Email" tag="Send_Email" getLabel="getLabel1" imageMso="Forward" onAction="UI_Universal_Road_Junction"/>
        <button id="CTX_Tools_Print" tag="Adjust_Print" getLabel="getLabel1" imageMso="ChangePrinter" onAction="UI_Universal_Road_Junction"/>
        <menuSeparator id="MySeparator1" insertBeforeMso="Cut"/>
        <button id="CTX_Tools_Survey" tag="Survey" getLabel="getLabel1" imageMso="Callout" onAction="UI_Universal_Road_Junction"/>
        <button id="CTX_Tools_Concern" tag="Report_Concern" getLabel="getLabel1" imageMso="LogicIncomplete" onAction="UI_Universal_Road_Junction"/>
        <menuSeparator id="MySeparator2" insertBeforeMso="Cut"/>
        <button id="CTX_Tools_Help" tag="Help" getLabel="getLabel1" imageMso="Help" onAction="UI_Universal_Road_Junction"/>
        <button id="CTX_Tools_About" tag="About" getLabel="getLabel1" imageMso="ResultsPaneAccessibilityMoreInfo" onAction="UI_Universal_Road_Junction"/>
      </menu>
      <menuSeparator id="MySeparator3" insertBeforeMso="Cut"/>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173</vt:i4>
      </vt:variant>
    </vt:vector>
  </HeadingPairs>
  <TitlesOfParts>
    <vt:vector size="175" baseType="lpstr">
      <vt:lpstr>Gantt</vt:lpstr>
      <vt:lpstr>Tools</vt:lpstr>
      <vt:lpstr>Gantt!_colAA</vt:lpstr>
      <vt:lpstr>Gantt!_colAB</vt:lpstr>
      <vt:lpstr>Gantt!_colAC</vt:lpstr>
      <vt:lpstr>Gantt!_colAD</vt:lpstr>
      <vt:lpstr>Gantt!_colAE</vt:lpstr>
      <vt:lpstr>Gantt!_colAF</vt:lpstr>
      <vt:lpstr>Gantt!_colAG</vt:lpstr>
      <vt:lpstr>Gantt!_colAH</vt:lpstr>
      <vt:lpstr>Gantt!_colAI</vt:lpstr>
      <vt:lpstr>Gantt!_colAJ</vt:lpstr>
      <vt:lpstr>Gantt!_colK</vt:lpstr>
      <vt:lpstr>Gantt!_colL</vt:lpstr>
      <vt:lpstr>Gantt!_colM</vt:lpstr>
      <vt:lpstr>Gantt!_colN</vt:lpstr>
      <vt:lpstr>Gantt!_colO</vt:lpstr>
      <vt:lpstr>Gantt!_colP</vt:lpstr>
      <vt:lpstr>Gantt!_colQ</vt:lpstr>
      <vt:lpstr>Gantt!_colR</vt:lpstr>
      <vt:lpstr>Gantt!_colS</vt:lpstr>
      <vt:lpstr>Gantt!_colT</vt:lpstr>
      <vt:lpstr>Gantt!_colU</vt:lpstr>
      <vt:lpstr>Gantt!_colV</vt:lpstr>
      <vt:lpstr>Gantt!_colW</vt:lpstr>
      <vt:lpstr>Gantt!_colX</vt:lpstr>
      <vt:lpstr>Gantt!_colY</vt:lpstr>
      <vt:lpstr>Gantt!_colZ</vt:lpstr>
      <vt:lpstr>Gantt!_row10</vt:lpstr>
      <vt:lpstr>Gantt!_row11</vt:lpstr>
      <vt:lpstr>Gantt!_row12</vt:lpstr>
      <vt:lpstr>Gantt!_row13</vt:lpstr>
      <vt:lpstr>Gantt!_row14</vt:lpstr>
      <vt:lpstr>Gantt!_row15</vt:lpstr>
      <vt:lpstr>Gantt!_row16</vt:lpstr>
      <vt:lpstr>Gantt!_row17</vt:lpstr>
      <vt:lpstr>Gantt!_row18</vt:lpstr>
      <vt:lpstr>Gantt!_row6</vt:lpstr>
      <vt:lpstr>Gantt!_row7</vt:lpstr>
      <vt:lpstr>Gantt!_row8</vt:lpstr>
      <vt:lpstr>Gantt!_row9</vt:lpstr>
      <vt:lpstr>Gantt!add_task_header</vt:lpstr>
      <vt:lpstr>Gantt!add_task_nb_rows</vt:lpstr>
      <vt:lpstr>Gantt!add_task_position</vt:lpstr>
      <vt:lpstr>Gantt!add_task_renumber</vt:lpstr>
      <vt:lpstr>Budget_Line1</vt:lpstr>
      <vt:lpstr>Budget_Line2</vt:lpstr>
      <vt:lpstr>Gantt!Budget_LinkCell</vt:lpstr>
      <vt:lpstr>Budget_Title</vt:lpstr>
      <vt:lpstr>Build_Date</vt:lpstr>
      <vt:lpstr>Build_Number</vt:lpstr>
      <vt:lpstr>Gantt!CF_Budget</vt:lpstr>
      <vt:lpstr>Gantt!CF_Dur_Type</vt:lpstr>
      <vt:lpstr>Gantt!CF_Duration</vt:lpstr>
      <vt:lpstr>Gantt!CF_Flags</vt:lpstr>
      <vt:lpstr>Gantt!CF_Gantt_Engine_1</vt:lpstr>
      <vt:lpstr>Gantt!CF_Gantt_Engine_2</vt:lpstr>
      <vt:lpstr>Gantt!CF_Gantt_Engine_3</vt:lpstr>
      <vt:lpstr>Gantt!CF_Gantt_Engine_4</vt:lpstr>
      <vt:lpstr>Gantt!CF_Gantt_Engine_5</vt:lpstr>
      <vt:lpstr>Gantt!CF_Gantt_Engine_6</vt:lpstr>
      <vt:lpstr>Gantt!CF_Round_Flag</vt:lpstr>
      <vt:lpstr>Gantt!CF_Start</vt:lpstr>
      <vt:lpstr>Gantt!CF_Type</vt:lpstr>
      <vt:lpstr>Gantt!Comment_LinkCell</vt:lpstr>
      <vt:lpstr>Criss_Cross_Bool</vt:lpstr>
      <vt:lpstr>ctx_menu_titles</vt:lpstr>
      <vt:lpstr>ctx_menu_titles_count</vt:lpstr>
      <vt:lpstr>Current_Language</vt:lpstr>
      <vt:lpstr>Delete_Title</vt:lpstr>
      <vt:lpstr>Delete_Wrn_Msg</vt:lpstr>
      <vt:lpstr>Dep_Imp_Title</vt:lpstr>
      <vt:lpstr>Dep_Imp_Warning</vt:lpstr>
      <vt:lpstr>dur_type_d</vt:lpstr>
      <vt:lpstr>dur_type_m</vt:lpstr>
      <vt:lpstr>dur_type_w</vt:lpstr>
      <vt:lpstr>Email_Subject</vt:lpstr>
      <vt:lpstr>Email_Wng_Msg_Text</vt:lpstr>
      <vt:lpstr>Email_Wng_Msg_Title</vt:lpstr>
      <vt:lpstr>Gantt!First_Day_Lowest</vt:lpstr>
      <vt:lpstr>Gantt!First_Day_Lowest_D</vt:lpstr>
      <vt:lpstr>Gantt!First_Day_Lowest_M</vt:lpstr>
      <vt:lpstr>Gantt!First_Day_Lowest_Y</vt:lpstr>
      <vt:lpstr>Gantt!First_Day_Monthly</vt:lpstr>
      <vt:lpstr>Gantt!First_Day_Today_D</vt:lpstr>
      <vt:lpstr>Gantt!First_Day_Today_M</vt:lpstr>
      <vt:lpstr>Gantt!First_Day_Today_Y</vt:lpstr>
      <vt:lpstr>Gantt!First_Day_Week</vt:lpstr>
      <vt:lpstr>Gantt!First_Day_Week2</vt:lpstr>
      <vt:lpstr>First_Time_Tag</vt:lpstr>
      <vt:lpstr>First_Time_Used</vt:lpstr>
      <vt:lpstr>Holiday_Days</vt:lpstr>
      <vt:lpstr>Gantt!Impression_des_titres</vt:lpstr>
      <vt:lpstr>Macro_Reminder</vt:lpstr>
      <vt:lpstr>Gantt!Monthly_View_Header_Pctg</vt:lpstr>
      <vt:lpstr>Gantt!MS_Trans</vt:lpstr>
      <vt:lpstr>PC_MAC_Flag</vt:lpstr>
      <vt:lpstr>Gantt!PIC_1</vt:lpstr>
      <vt:lpstr>Gantt!PIC_10</vt:lpstr>
      <vt:lpstr>Gantt!PIC_11</vt:lpstr>
      <vt:lpstr>Gantt!PIC_12</vt:lpstr>
      <vt:lpstr>Gantt!PIC_13</vt:lpstr>
      <vt:lpstr>Gantt!PIC_14</vt:lpstr>
      <vt:lpstr>Gantt!PIC_15</vt:lpstr>
      <vt:lpstr>Gantt!PIC_16</vt:lpstr>
      <vt:lpstr>Gantt!PIC_17</vt:lpstr>
      <vt:lpstr>Gantt!PIC_18</vt:lpstr>
      <vt:lpstr>Gantt!PIC_19</vt:lpstr>
      <vt:lpstr>Gantt!PIC_2</vt:lpstr>
      <vt:lpstr>Gantt!PIC_20</vt:lpstr>
      <vt:lpstr>Gantt!PIC_3</vt:lpstr>
      <vt:lpstr>Gantt!PIC_4</vt:lpstr>
      <vt:lpstr>Gantt!PIC_5</vt:lpstr>
      <vt:lpstr>Gantt!PIC_6</vt:lpstr>
      <vt:lpstr>Gantt!PIC_7</vt:lpstr>
      <vt:lpstr>Gantt!PIC_8</vt:lpstr>
      <vt:lpstr>Gantt!PIC_9</vt:lpstr>
      <vt:lpstr>Gantt!PIC_All</vt:lpstr>
      <vt:lpstr>Gantt!Red_Bkmark_D</vt:lpstr>
      <vt:lpstr>Gantt!Red_Bkmark_M</vt:lpstr>
      <vt:lpstr>Gantt!Red_Bkmark_Y</vt:lpstr>
      <vt:lpstr>Gantt!Red_Bookmark</vt:lpstr>
      <vt:lpstr>Ribbon_Dictionnary</vt:lpstr>
      <vt:lpstr>Gantt!Show_Weekly_Daily</vt:lpstr>
      <vt:lpstr>Gantt!Start_D_Daily_D</vt:lpstr>
      <vt:lpstr>Gantt!Start_D_Daily_M</vt:lpstr>
      <vt:lpstr>Gantt!Start_D_Daily_Y</vt:lpstr>
      <vt:lpstr>Gantt!Start_D_Daily_Y2</vt:lpstr>
      <vt:lpstr>Gantt!Start_Date_Fusion</vt:lpstr>
      <vt:lpstr>Gantt!Sub_Task_Trans</vt:lpstr>
      <vt:lpstr>Survey_URL</vt:lpstr>
      <vt:lpstr>Gantt!target_date_picker</vt:lpstr>
      <vt:lpstr>Gantt!Task_Trans</vt:lpstr>
      <vt:lpstr>Gantt!Title_Actual</vt:lpstr>
      <vt:lpstr>Gantt!Title_Actual_W</vt:lpstr>
      <vt:lpstr>Gantt!Title_AllDays</vt:lpstr>
      <vt:lpstr>Gantt!Title_AllDays_W</vt:lpstr>
      <vt:lpstr>Gantt!Title_Budget</vt:lpstr>
      <vt:lpstr>Gantt!Title_Budget_Perc</vt:lpstr>
      <vt:lpstr>Gantt!Title_Budget_Perc_W</vt:lpstr>
      <vt:lpstr>Gantt!Title_Color</vt:lpstr>
      <vt:lpstr>Gantt!Title_Color_W</vt:lpstr>
      <vt:lpstr>Gantt!Title_Comments</vt:lpstr>
      <vt:lpstr>Gantt!Title_Comments_W</vt:lpstr>
      <vt:lpstr>Gantt!Title_Due</vt:lpstr>
      <vt:lpstr>Gantt!Title_Due_W</vt:lpstr>
      <vt:lpstr>Gantt!Title_Duration</vt:lpstr>
      <vt:lpstr>Gantt!Title_Duration_W</vt:lpstr>
      <vt:lpstr>Gantt!Title_Leader</vt:lpstr>
      <vt:lpstr>Gantt!Title_Leader_W</vt:lpstr>
      <vt:lpstr>Gantt!Title_Plan</vt:lpstr>
      <vt:lpstr>Gantt!Title_Plan_W</vt:lpstr>
      <vt:lpstr>Gantt!Title_Planning</vt:lpstr>
      <vt:lpstr>Gantt!Title_Progress</vt:lpstr>
      <vt:lpstr>Gantt!Title_Progress_W</vt:lpstr>
      <vt:lpstr>Gantt!Title_Recal_Dur</vt:lpstr>
      <vt:lpstr>Gantt!Title_Recal_Dur_W</vt:lpstr>
      <vt:lpstr>Gantt!Title_Recal_End</vt:lpstr>
      <vt:lpstr>Gantt!Title_Recal_Start</vt:lpstr>
      <vt:lpstr>Gantt!Title_Start</vt:lpstr>
      <vt:lpstr>Gantt!Title_Start_W</vt:lpstr>
      <vt:lpstr>Gantt!Title_Task_Level</vt:lpstr>
      <vt:lpstr>Gantt!Title_Task_Level_W</vt:lpstr>
      <vt:lpstr>Gantt!Title_Wdays</vt:lpstr>
      <vt:lpstr>Gantt!Title_Wdays_W</vt:lpstr>
      <vt:lpstr>Usage_Counter</vt:lpstr>
      <vt:lpstr>Version_Value</vt:lpstr>
      <vt:lpstr>Gantt!WE_Days</vt:lpstr>
      <vt:lpstr>Gantt!WE_Days_LinkCell</vt:lpstr>
      <vt:lpstr>Gantt!Week_Name</vt:lpstr>
      <vt:lpstr>Gantt!Week_Name_LinkCell</vt:lpstr>
      <vt:lpstr>Gantt!Work_D_Only_Bool</vt:lpstr>
      <vt:lpstr>Gantt!Work_D_Only_LinkCell</vt:lpstr>
      <vt:lpstr>Gantt!Zone_d_impression</vt:lpstr>
      <vt:lpstr>Zoom_Fav_Size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MACE Cédric</dc:creator>
  <cp:lastModifiedBy>MACE Cédric</cp:lastModifiedBy>
  <cp:lastPrinted>2021-03-09T14:08:18Z</cp:lastPrinted>
  <dcterms:created xsi:type="dcterms:W3CDTF">2014-11-28T13:18:39Z</dcterms:created>
  <dcterms:modified xsi:type="dcterms:W3CDTF">2021-03-09T14:09:54Z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8895df76-562b-4440-9ed4-b4cb189ad6ea</vt:lpwstr>
  </property>
</Properties>
</file>